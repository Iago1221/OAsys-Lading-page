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teus e Bruna\Downloads\"/>
    </mc:Choice>
  </mc:AlternateContent>
  <xr:revisionPtr revIDLastSave="0" documentId="13_ncr:1_{13C06D44-4325-440A-8893-441D25EE7A5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arâmetros" sheetId="1" r:id="rId1"/>
    <sheet name="Demonstrativo Anual" sheetId="2" r:id="rId2"/>
    <sheet name="JAN" sheetId="3" r:id="rId3"/>
    <sheet name="FEV" sheetId="16" r:id="rId4"/>
    <sheet name="MAR" sheetId="17" r:id="rId5"/>
    <sheet name="ABR" sheetId="18" r:id="rId6"/>
    <sheet name="MAI" sheetId="19" r:id="rId7"/>
    <sheet name="JUN" sheetId="20" r:id="rId8"/>
    <sheet name="JUL" sheetId="22" r:id="rId9"/>
    <sheet name="AGO" sheetId="23" r:id="rId10"/>
    <sheet name="SET" sheetId="24" r:id="rId11"/>
    <sheet name="OUT" sheetId="25" r:id="rId12"/>
    <sheet name="NOV" sheetId="26" r:id="rId13"/>
    <sheet name="DEZ" sheetId="28" r:id="rId14"/>
  </sheets>
  <definedNames>
    <definedName name="Bancos">Parâmetros!$C$4:$C$11</definedName>
    <definedName name="despesas">Parâmetros!$A$4:$A$20</definedName>
    <definedName name="receitas">Parâmetros!$B$4:$B$20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3" i="2" l="1"/>
  <c r="Q12" i="2"/>
  <c r="N13" i="2"/>
  <c r="N12" i="2"/>
  <c r="K13" i="2"/>
  <c r="K12" i="2"/>
  <c r="H13" i="2"/>
  <c r="H12" i="2"/>
  <c r="E13" i="2"/>
  <c r="E12" i="2"/>
  <c r="B13" i="2"/>
  <c r="B12" i="2"/>
  <c r="Q7" i="2"/>
  <c r="Q6" i="2"/>
  <c r="N7" i="2"/>
  <c r="N6" i="2"/>
  <c r="K7" i="2"/>
  <c r="K6" i="2"/>
  <c r="G206" i="28"/>
  <c r="G205" i="28"/>
  <c r="G204" i="28"/>
  <c r="G203" i="28"/>
  <c r="G202" i="28"/>
  <c r="G201" i="28"/>
  <c r="G200" i="28"/>
  <c r="G199" i="28"/>
  <c r="G198" i="28"/>
  <c r="G197" i="28"/>
  <c r="G196" i="28"/>
  <c r="G195" i="28"/>
  <c r="G194" i="28"/>
  <c r="G193" i="28"/>
  <c r="G192" i="28"/>
  <c r="G191" i="28"/>
  <c r="G190" i="28"/>
  <c r="G189" i="28"/>
  <c r="G188" i="28"/>
  <c r="G187" i="28"/>
  <c r="G186" i="28"/>
  <c r="G185" i="28"/>
  <c r="G184" i="28"/>
  <c r="G183" i="28"/>
  <c r="G182" i="28"/>
  <c r="G181" i="28"/>
  <c r="G180" i="28"/>
  <c r="G179" i="28"/>
  <c r="G178" i="28"/>
  <c r="G177" i="28"/>
  <c r="G176" i="28"/>
  <c r="G175" i="28"/>
  <c r="G174" i="28"/>
  <c r="G173" i="28"/>
  <c r="G172" i="28"/>
  <c r="G171" i="28"/>
  <c r="G170" i="28"/>
  <c r="G169" i="28"/>
  <c r="G168" i="28"/>
  <c r="G167" i="28"/>
  <c r="G166" i="28"/>
  <c r="G165" i="28"/>
  <c r="G164" i="28"/>
  <c r="G163" i="28"/>
  <c r="G162" i="28"/>
  <c r="G161" i="28"/>
  <c r="G160" i="28"/>
  <c r="G159" i="28"/>
  <c r="G158" i="28"/>
  <c r="G157" i="28"/>
  <c r="G156" i="28"/>
  <c r="G155" i="28"/>
  <c r="G154" i="28"/>
  <c r="G153" i="28"/>
  <c r="G152" i="28"/>
  <c r="G151" i="28"/>
  <c r="G150" i="28"/>
  <c r="G149" i="28"/>
  <c r="G148" i="28"/>
  <c r="G147" i="28"/>
  <c r="G146" i="28"/>
  <c r="G145" i="28"/>
  <c r="G144" i="28"/>
  <c r="G143" i="28"/>
  <c r="G142" i="28"/>
  <c r="G141" i="28"/>
  <c r="G140" i="28"/>
  <c r="G139" i="28"/>
  <c r="G138" i="28"/>
  <c r="G137" i="28"/>
  <c r="G136" i="28"/>
  <c r="G135" i="28"/>
  <c r="G134" i="28"/>
  <c r="G133" i="28"/>
  <c r="G132" i="28"/>
  <c r="G131" i="28"/>
  <c r="G130" i="28"/>
  <c r="G129" i="28"/>
  <c r="G128" i="28"/>
  <c r="G127" i="28"/>
  <c r="G126" i="28"/>
  <c r="G125" i="28"/>
  <c r="G124" i="28"/>
  <c r="G123" i="28"/>
  <c r="G122" i="28"/>
  <c r="G121" i="28"/>
  <c r="G120" i="28"/>
  <c r="G119" i="28"/>
  <c r="G118" i="28"/>
  <c r="G117" i="28"/>
  <c r="G116" i="28"/>
  <c r="G115" i="28"/>
  <c r="G114" i="28"/>
  <c r="G113" i="28"/>
  <c r="G112" i="28"/>
  <c r="G111" i="28"/>
  <c r="G110" i="28"/>
  <c r="G109" i="28"/>
  <c r="G108" i="28"/>
  <c r="G107" i="28"/>
  <c r="G106" i="28"/>
  <c r="G105" i="28"/>
  <c r="G104" i="28"/>
  <c r="G103" i="28"/>
  <c r="G102" i="28"/>
  <c r="G101" i="28"/>
  <c r="G100" i="28"/>
  <c r="G99" i="28"/>
  <c r="G98" i="28"/>
  <c r="G97" i="28"/>
  <c r="G96" i="28"/>
  <c r="G95" i="28"/>
  <c r="G94" i="28"/>
  <c r="G93" i="28"/>
  <c r="G92" i="28"/>
  <c r="G91" i="28"/>
  <c r="G90" i="28"/>
  <c r="G89" i="28"/>
  <c r="G88" i="28"/>
  <c r="G87" i="28"/>
  <c r="G86" i="28"/>
  <c r="G85" i="28"/>
  <c r="G84" i="28"/>
  <c r="G83" i="28"/>
  <c r="G82" i="28"/>
  <c r="G81" i="28"/>
  <c r="G80" i="28"/>
  <c r="G79" i="28"/>
  <c r="G78" i="28"/>
  <c r="G77" i="28"/>
  <c r="G76" i="28"/>
  <c r="G75" i="28"/>
  <c r="G74" i="28"/>
  <c r="G73" i="28"/>
  <c r="G72" i="28"/>
  <c r="G71" i="28"/>
  <c r="G70" i="28"/>
  <c r="G69" i="28"/>
  <c r="G68" i="28"/>
  <c r="G67" i="28"/>
  <c r="G66" i="28"/>
  <c r="G65" i="28"/>
  <c r="G64" i="28"/>
  <c r="G63" i="28"/>
  <c r="G62" i="28"/>
  <c r="G61" i="28"/>
  <c r="G60" i="28"/>
  <c r="G59" i="28"/>
  <c r="G58" i="28"/>
  <c r="G57" i="28"/>
  <c r="G56" i="28"/>
  <c r="G55" i="28"/>
  <c r="G54" i="28"/>
  <c r="G53" i="28"/>
  <c r="G52" i="28"/>
  <c r="G51" i="28"/>
  <c r="G50" i="28"/>
  <c r="G49" i="28"/>
  <c r="G48" i="28"/>
  <c r="G47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G34" i="28"/>
  <c r="G33" i="28"/>
  <c r="G32" i="28"/>
  <c r="G31" i="28"/>
  <c r="G30" i="28"/>
  <c r="G29" i="28"/>
  <c r="G28" i="28"/>
  <c r="G27" i="28"/>
  <c r="G26" i="28"/>
  <c r="G25" i="28"/>
  <c r="G24" i="28"/>
  <c r="G23" i="28"/>
  <c r="G22" i="28"/>
  <c r="G21" i="28"/>
  <c r="G20" i="28"/>
  <c r="G19" i="28"/>
  <c r="G18" i="28"/>
  <c r="G17" i="28"/>
  <c r="G16" i="28"/>
  <c r="G15" i="28"/>
  <c r="G14" i="28"/>
  <c r="G13" i="28"/>
  <c r="G12" i="28"/>
  <c r="G11" i="28"/>
  <c r="G10" i="28"/>
  <c r="G9" i="28"/>
  <c r="G8" i="28"/>
  <c r="G7" i="28"/>
  <c r="G206" i="26"/>
  <c r="G205" i="26"/>
  <c r="G204" i="26"/>
  <c r="G203" i="26"/>
  <c r="G202" i="26"/>
  <c r="G201" i="26"/>
  <c r="G200" i="26"/>
  <c r="G199" i="26"/>
  <c r="G198" i="26"/>
  <c r="G197" i="26"/>
  <c r="G196" i="26"/>
  <c r="G195" i="26"/>
  <c r="G194" i="26"/>
  <c r="G193" i="26"/>
  <c r="G192" i="26"/>
  <c r="G191" i="26"/>
  <c r="G190" i="26"/>
  <c r="G189" i="26"/>
  <c r="G188" i="26"/>
  <c r="G187" i="26"/>
  <c r="G186" i="26"/>
  <c r="G185" i="26"/>
  <c r="G184" i="26"/>
  <c r="G183" i="26"/>
  <c r="G182" i="26"/>
  <c r="G181" i="26"/>
  <c r="G180" i="26"/>
  <c r="G179" i="26"/>
  <c r="G178" i="26"/>
  <c r="G177" i="26"/>
  <c r="G176" i="26"/>
  <c r="G175" i="26"/>
  <c r="G174" i="26"/>
  <c r="G173" i="26"/>
  <c r="G172" i="26"/>
  <c r="G171" i="26"/>
  <c r="G170" i="26"/>
  <c r="G169" i="26"/>
  <c r="G168" i="26"/>
  <c r="G167" i="26"/>
  <c r="G166" i="26"/>
  <c r="G165" i="26"/>
  <c r="G164" i="26"/>
  <c r="G163" i="26"/>
  <c r="G162" i="26"/>
  <c r="G161" i="26"/>
  <c r="G160" i="26"/>
  <c r="G159" i="26"/>
  <c r="G158" i="26"/>
  <c r="G157" i="26"/>
  <c r="G156" i="26"/>
  <c r="G155" i="26"/>
  <c r="G154" i="26"/>
  <c r="G153" i="26"/>
  <c r="G152" i="26"/>
  <c r="G151" i="26"/>
  <c r="G150" i="26"/>
  <c r="G149" i="26"/>
  <c r="G148" i="26"/>
  <c r="G147" i="26"/>
  <c r="G146" i="26"/>
  <c r="G145" i="26"/>
  <c r="G144" i="26"/>
  <c r="G143" i="26"/>
  <c r="G142" i="26"/>
  <c r="G141" i="26"/>
  <c r="G140" i="26"/>
  <c r="G139" i="26"/>
  <c r="G138" i="26"/>
  <c r="G137" i="26"/>
  <c r="G136" i="26"/>
  <c r="G135" i="26"/>
  <c r="G134" i="26"/>
  <c r="G133" i="26"/>
  <c r="G132" i="26"/>
  <c r="G131" i="26"/>
  <c r="G130" i="26"/>
  <c r="G129" i="26"/>
  <c r="G128" i="26"/>
  <c r="G127" i="26"/>
  <c r="G126" i="26"/>
  <c r="G125" i="26"/>
  <c r="G124" i="26"/>
  <c r="G123" i="26"/>
  <c r="G122" i="26"/>
  <c r="G121" i="26"/>
  <c r="G120" i="26"/>
  <c r="G119" i="26"/>
  <c r="G118" i="26"/>
  <c r="G117" i="26"/>
  <c r="G116" i="26"/>
  <c r="G115" i="26"/>
  <c r="G114" i="26"/>
  <c r="G113" i="26"/>
  <c r="G112" i="26"/>
  <c r="G111" i="26"/>
  <c r="G110" i="26"/>
  <c r="G109" i="26"/>
  <c r="G108" i="26"/>
  <c r="G107" i="26"/>
  <c r="G106" i="26"/>
  <c r="G105" i="26"/>
  <c r="G104" i="26"/>
  <c r="G103" i="26"/>
  <c r="G102" i="26"/>
  <c r="G101" i="26"/>
  <c r="G100" i="26"/>
  <c r="G99" i="26"/>
  <c r="G98" i="26"/>
  <c r="G97" i="26"/>
  <c r="G96" i="26"/>
  <c r="G95" i="26"/>
  <c r="G94" i="26"/>
  <c r="G93" i="26"/>
  <c r="G92" i="26"/>
  <c r="G91" i="26"/>
  <c r="G90" i="26"/>
  <c r="G89" i="26"/>
  <c r="G88" i="26"/>
  <c r="G87" i="26"/>
  <c r="G86" i="26"/>
  <c r="G85" i="26"/>
  <c r="G84" i="26"/>
  <c r="G83" i="26"/>
  <c r="G82" i="26"/>
  <c r="G81" i="26"/>
  <c r="G80" i="26"/>
  <c r="G79" i="26"/>
  <c r="G78" i="26"/>
  <c r="G77" i="26"/>
  <c r="G76" i="26"/>
  <c r="G75" i="26"/>
  <c r="G74" i="26"/>
  <c r="G73" i="26"/>
  <c r="G72" i="26"/>
  <c r="G71" i="26"/>
  <c r="G70" i="26"/>
  <c r="G69" i="26"/>
  <c r="G68" i="26"/>
  <c r="G67" i="26"/>
  <c r="G66" i="26"/>
  <c r="G65" i="26"/>
  <c r="G64" i="26"/>
  <c r="G63" i="26"/>
  <c r="G62" i="26"/>
  <c r="G61" i="26"/>
  <c r="G60" i="26"/>
  <c r="G59" i="26"/>
  <c r="G58" i="26"/>
  <c r="G57" i="26"/>
  <c r="G56" i="26"/>
  <c r="G55" i="26"/>
  <c r="G54" i="26"/>
  <c r="G53" i="26"/>
  <c r="G52" i="26"/>
  <c r="G51" i="26"/>
  <c r="G50" i="26"/>
  <c r="G49" i="26"/>
  <c r="G48" i="26"/>
  <c r="G47" i="26"/>
  <c r="G46" i="26"/>
  <c r="G45" i="26"/>
  <c r="G44" i="26"/>
  <c r="G43" i="26"/>
  <c r="G42" i="26"/>
  <c r="G41" i="26"/>
  <c r="G40" i="26"/>
  <c r="G39" i="26"/>
  <c r="G38" i="26"/>
  <c r="G37" i="26"/>
  <c r="G36" i="26"/>
  <c r="G35" i="26"/>
  <c r="G34" i="26"/>
  <c r="G33" i="26"/>
  <c r="G32" i="26"/>
  <c r="G31" i="26"/>
  <c r="G30" i="26"/>
  <c r="G29" i="26"/>
  <c r="G28" i="26"/>
  <c r="G27" i="26"/>
  <c r="G26" i="26"/>
  <c r="G25" i="26"/>
  <c r="G24" i="26"/>
  <c r="G23" i="26"/>
  <c r="G22" i="26"/>
  <c r="G21" i="26"/>
  <c r="G20" i="26"/>
  <c r="G19" i="26"/>
  <c r="G18" i="26"/>
  <c r="G17" i="26"/>
  <c r="G16" i="26"/>
  <c r="G15" i="26"/>
  <c r="G14" i="26"/>
  <c r="G13" i="26"/>
  <c r="G12" i="26"/>
  <c r="G11" i="26"/>
  <c r="G10" i="26"/>
  <c r="G9" i="26"/>
  <c r="G8" i="26"/>
  <c r="G7" i="26"/>
  <c r="G206" i="25"/>
  <c r="G205" i="25"/>
  <c r="G204" i="25"/>
  <c r="G203" i="25"/>
  <c r="G202" i="25"/>
  <c r="G201" i="25"/>
  <c r="G200" i="25"/>
  <c r="G199" i="25"/>
  <c r="G198" i="25"/>
  <c r="G197" i="25"/>
  <c r="G196" i="25"/>
  <c r="G195" i="25"/>
  <c r="G194" i="25"/>
  <c r="G193" i="25"/>
  <c r="G192" i="25"/>
  <c r="G191" i="25"/>
  <c r="G190" i="25"/>
  <c r="G189" i="25"/>
  <c r="G188" i="25"/>
  <c r="G187" i="25"/>
  <c r="G186" i="25"/>
  <c r="G185" i="25"/>
  <c r="G184" i="25"/>
  <c r="G183" i="25"/>
  <c r="G182" i="25"/>
  <c r="G181" i="25"/>
  <c r="G180" i="25"/>
  <c r="G179" i="25"/>
  <c r="G178" i="25"/>
  <c r="G177" i="25"/>
  <c r="G176" i="25"/>
  <c r="G175" i="25"/>
  <c r="G174" i="25"/>
  <c r="G173" i="25"/>
  <c r="G172" i="25"/>
  <c r="G171" i="25"/>
  <c r="G170" i="25"/>
  <c r="G169" i="25"/>
  <c r="G168" i="25"/>
  <c r="G167" i="25"/>
  <c r="G166" i="25"/>
  <c r="G165" i="25"/>
  <c r="G164" i="25"/>
  <c r="G163" i="25"/>
  <c r="G162" i="25"/>
  <c r="G161" i="25"/>
  <c r="G160" i="25"/>
  <c r="G159" i="25"/>
  <c r="G158" i="25"/>
  <c r="G157" i="25"/>
  <c r="G156" i="25"/>
  <c r="G155" i="25"/>
  <c r="G154" i="25"/>
  <c r="G153" i="25"/>
  <c r="G152" i="25"/>
  <c r="G151" i="25"/>
  <c r="G150" i="25"/>
  <c r="G149" i="25"/>
  <c r="G148" i="25"/>
  <c r="G147" i="25"/>
  <c r="G146" i="25"/>
  <c r="G145" i="25"/>
  <c r="G144" i="25"/>
  <c r="G143" i="25"/>
  <c r="G142" i="25"/>
  <c r="G141" i="25"/>
  <c r="G140" i="25"/>
  <c r="G139" i="25"/>
  <c r="G138" i="25"/>
  <c r="G137" i="25"/>
  <c r="G136" i="25"/>
  <c r="G135" i="25"/>
  <c r="G134" i="25"/>
  <c r="G133" i="25"/>
  <c r="G132" i="25"/>
  <c r="G131" i="25"/>
  <c r="G130" i="25"/>
  <c r="G129" i="25"/>
  <c r="G128" i="25"/>
  <c r="G127" i="25"/>
  <c r="G126" i="25"/>
  <c r="G125" i="25"/>
  <c r="G124" i="25"/>
  <c r="G123" i="25"/>
  <c r="G122" i="25"/>
  <c r="G121" i="25"/>
  <c r="G120" i="25"/>
  <c r="G119" i="25"/>
  <c r="G118" i="25"/>
  <c r="G117" i="25"/>
  <c r="G116" i="25"/>
  <c r="G115" i="25"/>
  <c r="G114" i="25"/>
  <c r="G113" i="25"/>
  <c r="G112" i="25"/>
  <c r="G111" i="25"/>
  <c r="G110" i="25"/>
  <c r="G109" i="25"/>
  <c r="G108" i="25"/>
  <c r="G107" i="25"/>
  <c r="G106" i="25"/>
  <c r="G105" i="25"/>
  <c r="G104" i="25"/>
  <c r="G103" i="25"/>
  <c r="G102" i="25"/>
  <c r="G101" i="25"/>
  <c r="G100" i="25"/>
  <c r="G99" i="25"/>
  <c r="G98" i="25"/>
  <c r="G97" i="25"/>
  <c r="G96" i="25"/>
  <c r="G95" i="25"/>
  <c r="G94" i="25"/>
  <c r="G93" i="25"/>
  <c r="G92" i="25"/>
  <c r="G91" i="25"/>
  <c r="G90" i="25"/>
  <c r="G89" i="25"/>
  <c r="G88" i="25"/>
  <c r="G87" i="25"/>
  <c r="G86" i="25"/>
  <c r="G85" i="25"/>
  <c r="G84" i="25"/>
  <c r="G83" i="25"/>
  <c r="G82" i="25"/>
  <c r="G81" i="25"/>
  <c r="G80" i="25"/>
  <c r="G79" i="25"/>
  <c r="G78" i="25"/>
  <c r="G77" i="25"/>
  <c r="G76" i="25"/>
  <c r="G75" i="25"/>
  <c r="G74" i="25"/>
  <c r="G73" i="25"/>
  <c r="G72" i="25"/>
  <c r="G71" i="25"/>
  <c r="G70" i="25"/>
  <c r="G69" i="25"/>
  <c r="G68" i="25"/>
  <c r="G67" i="25"/>
  <c r="G66" i="25"/>
  <c r="G65" i="25"/>
  <c r="G64" i="25"/>
  <c r="G63" i="25"/>
  <c r="G62" i="25"/>
  <c r="G61" i="25"/>
  <c r="G60" i="25"/>
  <c r="G59" i="25"/>
  <c r="G58" i="25"/>
  <c r="G57" i="25"/>
  <c r="G56" i="25"/>
  <c r="G55" i="25"/>
  <c r="G54" i="25"/>
  <c r="G53" i="25"/>
  <c r="G52" i="25"/>
  <c r="G51" i="25"/>
  <c r="G50" i="25"/>
  <c r="G49" i="25"/>
  <c r="G48" i="25"/>
  <c r="G47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34" i="25"/>
  <c r="G33" i="25"/>
  <c r="G32" i="25"/>
  <c r="G31" i="25"/>
  <c r="G30" i="25"/>
  <c r="G29" i="25"/>
  <c r="G28" i="25"/>
  <c r="G27" i="25"/>
  <c r="G26" i="25"/>
  <c r="G25" i="25"/>
  <c r="G24" i="25"/>
  <c r="G23" i="25"/>
  <c r="G22" i="25"/>
  <c r="G21" i="25"/>
  <c r="G20" i="25"/>
  <c r="G19" i="25"/>
  <c r="G18" i="25"/>
  <c r="G17" i="25"/>
  <c r="G16" i="25"/>
  <c r="G15" i="25"/>
  <c r="G14" i="25"/>
  <c r="G13" i="25"/>
  <c r="G12" i="25"/>
  <c r="G11" i="25"/>
  <c r="G10" i="25"/>
  <c r="G9" i="25"/>
  <c r="G8" i="25"/>
  <c r="G7" i="25"/>
  <c r="G206" i="24"/>
  <c r="G205" i="24"/>
  <c r="G204" i="24"/>
  <c r="G203" i="24"/>
  <c r="G202" i="24"/>
  <c r="G201" i="24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206" i="23"/>
  <c r="G205" i="23"/>
  <c r="G204" i="23"/>
  <c r="G203" i="23"/>
  <c r="G202" i="23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206" i="22"/>
  <c r="G205" i="22"/>
  <c r="G204" i="22"/>
  <c r="G203" i="22"/>
  <c r="G202" i="22"/>
  <c r="G201" i="22"/>
  <c r="G200" i="22"/>
  <c r="G199" i="22"/>
  <c r="G198" i="22"/>
  <c r="G197" i="22"/>
  <c r="G196" i="22"/>
  <c r="G195" i="22"/>
  <c r="G194" i="22"/>
  <c r="G193" i="22"/>
  <c r="G192" i="22"/>
  <c r="G191" i="22"/>
  <c r="G190" i="22"/>
  <c r="G189" i="22"/>
  <c r="G188" i="22"/>
  <c r="G187" i="22"/>
  <c r="G186" i="22"/>
  <c r="G185" i="22"/>
  <c r="G184" i="22"/>
  <c r="G183" i="22"/>
  <c r="G182" i="22"/>
  <c r="G181" i="22"/>
  <c r="G180" i="22"/>
  <c r="G179" i="22"/>
  <c r="G178" i="22"/>
  <c r="G177" i="22"/>
  <c r="G176" i="22"/>
  <c r="G175" i="22"/>
  <c r="G174" i="22"/>
  <c r="G173" i="22"/>
  <c r="G172" i="22"/>
  <c r="G171" i="22"/>
  <c r="G170" i="22"/>
  <c r="G169" i="22"/>
  <c r="G168" i="22"/>
  <c r="G167" i="22"/>
  <c r="G166" i="22"/>
  <c r="G165" i="22"/>
  <c r="G164" i="22"/>
  <c r="G163" i="22"/>
  <c r="G162" i="22"/>
  <c r="G161" i="22"/>
  <c r="G160" i="22"/>
  <c r="G159" i="22"/>
  <c r="G158" i="22"/>
  <c r="G157" i="22"/>
  <c r="G156" i="22"/>
  <c r="G155" i="22"/>
  <c r="G154" i="22"/>
  <c r="G153" i="22"/>
  <c r="G152" i="22"/>
  <c r="G151" i="22"/>
  <c r="G150" i="22"/>
  <c r="G149" i="22"/>
  <c r="G148" i="22"/>
  <c r="G147" i="22"/>
  <c r="G146" i="22"/>
  <c r="G145" i="22"/>
  <c r="G144" i="22"/>
  <c r="G143" i="22"/>
  <c r="G142" i="22"/>
  <c r="G141" i="22"/>
  <c r="G140" i="22"/>
  <c r="G139" i="22"/>
  <c r="G138" i="22"/>
  <c r="G137" i="22"/>
  <c r="G136" i="22"/>
  <c r="G135" i="22"/>
  <c r="G134" i="22"/>
  <c r="G133" i="22"/>
  <c r="G132" i="22"/>
  <c r="G131" i="22"/>
  <c r="G130" i="22"/>
  <c r="G129" i="22"/>
  <c r="G128" i="22"/>
  <c r="G127" i="22"/>
  <c r="G126" i="22"/>
  <c r="G125" i="22"/>
  <c r="G124" i="22"/>
  <c r="G123" i="22"/>
  <c r="G122" i="22"/>
  <c r="G121" i="22"/>
  <c r="G120" i="22"/>
  <c r="G119" i="22"/>
  <c r="G118" i="22"/>
  <c r="G117" i="22"/>
  <c r="G116" i="22"/>
  <c r="G115" i="22"/>
  <c r="G114" i="22"/>
  <c r="G113" i="22"/>
  <c r="G112" i="22"/>
  <c r="G111" i="22"/>
  <c r="G110" i="22"/>
  <c r="G109" i="22"/>
  <c r="G108" i="22"/>
  <c r="G107" i="22"/>
  <c r="G106" i="22"/>
  <c r="G105" i="22"/>
  <c r="G104" i="22"/>
  <c r="G103" i="22"/>
  <c r="G102" i="22"/>
  <c r="G101" i="22"/>
  <c r="G100" i="22"/>
  <c r="G99" i="22"/>
  <c r="G98" i="22"/>
  <c r="G97" i="22"/>
  <c r="G96" i="22"/>
  <c r="G95" i="22"/>
  <c r="G94" i="22"/>
  <c r="G93" i="22"/>
  <c r="G92" i="22"/>
  <c r="G91" i="22"/>
  <c r="G90" i="22"/>
  <c r="G89" i="22"/>
  <c r="G88" i="22"/>
  <c r="G87" i="22"/>
  <c r="G86" i="22"/>
  <c r="G85" i="22"/>
  <c r="G84" i="22"/>
  <c r="G83" i="22"/>
  <c r="G82" i="22"/>
  <c r="G81" i="22"/>
  <c r="G80" i="22"/>
  <c r="G79" i="22"/>
  <c r="G78" i="22"/>
  <c r="G77" i="22"/>
  <c r="G76" i="22"/>
  <c r="G75" i="22"/>
  <c r="G74" i="22"/>
  <c r="G73" i="22"/>
  <c r="G72" i="22"/>
  <c r="G71" i="22"/>
  <c r="G70" i="22"/>
  <c r="G69" i="22"/>
  <c r="G68" i="22"/>
  <c r="G67" i="22"/>
  <c r="G66" i="22"/>
  <c r="G65" i="22"/>
  <c r="G64" i="22"/>
  <c r="G63" i="22"/>
  <c r="G62" i="22"/>
  <c r="G61" i="22"/>
  <c r="G60" i="22"/>
  <c r="G59" i="22"/>
  <c r="G58" i="22"/>
  <c r="G57" i="22"/>
  <c r="G56" i="22"/>
  <c r="G55" i="22"/>
  <c r="G54" i="22"/>
  <c r="G53" i="22"/>
  <c r="G52" i="22"/>
  <c r="G51" i="22"/>
  <c r="G50" i="22"/>
  <c r="G49" i="22"/>
  <c r="G48" i="22"/>
  <c r="G47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G34" i="22"/>
  <c r="G33" i="22"/>
  <c r="G32" i="22"/>
  <c r="G31" i="22"/>
  <c r="G30" i="22"/>
  <c r="G29" i="22"/>
  <c r="G28" i="22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206" i="20"/>
  <c r="G205" i="20"/>
  <c r="G204" i="20"/>
  <c r="G203" i="20"/>
  <c r="G202" i="20"/>
  <c r="G201" i="20"/>
  <c r="G200" i="20"/>
  <c r="G199" i="20"/>
  <c r="G198" i="20"/>
  <c r="G197" i="20"/>
  <c r="G196" i="20"/>
  <c r="G195" i="20"/>
  <c r="G194" i="20"/>
  <c r="G193" i="20"/>
  <c r="G192" i="20"/>
  <c r="G191" i="20"/>
  <c r="G190" i="20"/>
  <c r="G189" i="20"/>
  <c r="G188" i="20"/>
  <c r="G187" i="20"/>
  <c r="G186" i="20"/>
  <c r="G185" i="20"/>
  <c r="G184" i="20"/>
  <c r="G183" i="20"/>
  <c r="G182" i="20"/>
  <c r="G181" i="20"/>
  <c r="G180" i="20"/>
  <c r="G179" i="20"/>
  <c r="G178" i="20"/>
  <c r="G177" i="20"/>
  <c r="G176" i="20"/>
  <c r="G175" i="20"/>
  <c r="G174" i="20"/>
  <c r="G173" i="20"/>
  <c r="G172" i="20"/>
  <c r="G171" i="20"/>
  <c r="G170" i="20"/>
  <c r="G169" i="20"/>
  <c r="G168" i="20"/>
  <c r="G167" i="20"/>
  <c r="G166" i="20"/>
  <c r="G165" i="20"/>
  <c r="G164" i="20"/>
  <c r="G163" i="20"/>
  <c r="G162" i="20"/>
  <c r="G161" i="20"/>
  <c r="G160" i="20"/>
  <c r="G159" i="20"/>
  <c r="G158" i="20"/>
  <c r="G157" i="20"/>
  <c r="G156" i="20"/>
  <c r="G155" i="20"/>
  <c r="G154" i="20"/>
  <c r="G153" i="20"/>
  <c r="G152" i="20"/>
  <c r="G151" i="20"/>
  <c r="G150" i="20"/>
  <c r="G149" i="20"/>
  <c r="G148" i="20"/>
  <c r="G147" i="20"/>
  <c r="G146" i="20"/>
  <c r="G145" i="20"/>
  <c r="G144" i="20"/>
  <c r="G143" i="20"/>
  <c r="G142" i="20"/>
  <c r="G141" i="20"/>
  <c r="G140" i="20"/>
  <c r="G139" i="20"/>
  <c r="G138" i="20"/>
  <c r="G137" i="20"/>
  <c r="G136" i="20"/>
  <c r="G135" i="20"/>
  <c r="G134" i="20"/>
  <c r="G133" i="20"/>
  <c r="G132" i="20"/>
  <c r="G131" i="20"/>
  <c r="G130" i="20"/>
  <c r="G129" i="20"/>
  <c r="G128" i="20"/>
  <c r="G127" i="20"/>
  <c r="G126" i="20"/>
  <c r="G125" i="20"/>
  <c r="G124" i="20"/>
  <c r="G123" i="20"/>
  <c r="G122" i="20"/>
  <c r="G121" i="20"/>
  <c r="G120" i="20"/>
  <c r="G119" i="20"/>
  <c r="G118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G103" i="20"/>
  <c r="G102" i="20"/>
  <c r="G101" i="20"/>
  <c r="G100" i="20"/>
  <c r="G99" i="20"/>
  <c r="G98" i="20"/>
  <c r="G97" i="20"/>
  <c r="G96" i="20"/>
  <c r="G95" i="20"/>
  <c r="G94" i="20"/>
  <c r="G93" i="20"/>
  <c r="G92" i="20"/>
  <c r="G91" i="20"/>
  <c r="G90" i="20"/>
  <c r="G89" i="20"/>
  <c r="G88" i="20"/>
  <c r="G87" i="20"/>
  <c r="G86" i="20"/>
  <c r="G85" i="20"/>
  <c r="G84" i="20"/>
  <c r="G83" i="20"/>
  <c r="G82" i="20"/>
  <c r="G81" i="20"/>
  <c r="G80" i="20"/>
  <c r="G79" i="20"/>
  <c r="G78" i="20"/>
  <c r="G77" i="20"/>
  <c r="G76" i="20"/>
  <c r="G75" i="20"/>
  <c r="G74" i="20"/>
  <c r="G73" i="20"/>
  <c r="G72" i="20"/>
  <c r="G71" i="20"/>
  <c r="G70" i="20"/>
  <c r="G69" i="20"/>
  <c r="G68" i="20"/>
  <c r="G67" i="20"/>
  <c r="G66" i="20"/>
  <c r="G65" i="20"/>
  <c r="G64" i="20"/>
  <c r="G63" i="20"/>
  <c r="G62" i="20"/>
  <c r="G61" i="20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206" i="19"/>
  <c r="G205" i="19"/>
  <c r="G204" i="19"/>
  <c r="G203" i="19"/>
  <c r="G202" i="19"/>
  <c r="G201" i="19"/>
  <c r="G200" i="19"/>
  <c r="G199" i="19"/>
  <c r="G198" i="19"/>
  <c r="G197" i="19"/>
  <c r="G196" i="19"/>
  <c r="G195" i="19"/>
  <c r="G194" i="19"/>
  <c r="G193" i="19"/>
  <c r="G192" i="19"/>
  <c r="G191" i="19"/>
  <c r="G190" i="19"/>
  <c r="G189" i="19"/>
  <c r="G188" i="19"/>
  <c r="G187" i="19"/>
  <c r="G186" i="19"/>
  <c r="G185" i="19"/>
  <c r="G184" i="19"/>
  <c r="G183" i="19"/>
  <c r="G182" i="19"/>
  <c r="G181" i="19"/>
  <c r="G180" i="19"/>
  <c r="G179" i="19"/>
  <c r="G178" i="19"/>
  <c r="G177" i="19"/>
  <c r="G176" i="19"/>
  <c r="G175" i="19"/>
  <c r="G174" i="19"/>
  <c r="G173" i="19"/>
  <c r="G172" i="19"/>
  <c r="G171" i="19"/>
  <c r="G170" i="19"/>
  <c r="G169" i="19"/>
  <c r="G168" i="19"/>
  <c r="G167" i="19"/>
  <c r="G166" i="19"/>
  <c r="G165" i="19"/>
  <c r="G164" i="19"/>
  <c r="G163" i="19"/>
  <c r="G162" i="19"/>
  <c r="G161" i="19"/>
  <c r="G160" i="19"/>
  <c r="G159" i="19"/>
  <c r="G158" i="19"/>
  <c r="G157" i="19"/>
  <c r="G156" i="19"/>
  <c r="G155" i="19"/>
  <c r="G154" i="19"/>
  <c r="G153" i="19"/>
  <c r="G152" i="19"/>
  <c r="G151" i="19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7" i="19"/>
  <c r="G136" i="19"/>
  <c r="G135" i="19"/>
  <c r="G134" i="19"/>
  <c r="G133" i="19"/>
  <c r="G132" i="19"/>
  <c r="G131" i="19"/>
  <c r="G130" i="19"/>
  <c r="G129" i="19"/>
  <c r="G128" i="19"/>
  <c r="G127" i="19"/>
  <c r="G126" i="19"/>
  <c r="G125" i="19"/>
  <c r="G124" i="19"/>
  <c r="G123" i="19"/>
  <c r="G122" i="19"/>
  <c r="G121" i="19"/>
  <c r="G120" i="19"/>
  <c r="G119" i="19"/>
  <c r="G118" i="19"/>
  <c r="G117" i="19"/>
  <c r="G116" i="19"/>
  <c r="G115" i="19"/>
  <c r="G114" i="19"/>
  <c r="G113" i="19"/>
  <c r="G112" i="19"/>
  <c r="G111" i="19"/>
  <c r="G110" i="19"/>
  <c r="G109" i="19"/>
  <c r="G108" i="19"/>
  <c r="G107" i="19"/>
  <c r="G106" i="19"/>
  <c r="G105" i="19"/>
  <c r="G104" i="19"/>
  <c r="G103" i="19"/>
  <c r="G102" i="19"/>
  <c r="G101" i="19"/>
  <c r="G100" i="19"/>
  <c r="G99" i="19"/>
  <c r="G98" i="19"/>
  <c r="G97" i="19"/>
  <c r="G96" i="19"/>
  <c r="G95" i="19"/>
  <c r="G94" i="19"/>
  <c r="G93" i="19"/>
  <c r="G92" i="19"/>
  <c r="G91" i="19"/>
  <c r="G90" i="19"/>
  <c r="G89" i="19"/>
  <c r="G88" i="19"/>
  <c r="G87" i="19"/>
  <c r="G86" i="19"/>
  <c r="G85" i="19"/>
  <c r="G84" i="19"/>
  <c r="G83" i="19"/>
  <c r="G82" i="19"/>
  <c r="G81" i="19"/>
  <c r="G80" i="19"/>
  <c r="G79" i="19"/>
  <c r="G78" i="19"/>
  <c r="G77" i="19"/>
  <c r="G76" i="19"/>
  <c r="G75" i="19"/>
  <c r="G74" i="19"/>
  <c r="G73" i="19"/>
  <c r="G72" i="19"/>
  <c r="G71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34" i="19"/>
  <c r="G33" i="19"/>
  <c r="G32" i="19"/>
  <c r="G31" i="19"/>
  <c r="G30" i="19"/>
  <c r="G29" i="19"/>
  <c r="G28" i="19"/>
  <c r="G27" i="19"/>
  <c r="G26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13" i="19"/>
  <c r="G12" i="19"/>
  <c r="G11" i="19"/>
  <c r="G10" i="19"/>
  <c r="G9" i="19"/>
  <c r="G8" i="19"/>
  <c r="G7" i="19"/>
  <c r="H7" i="2"/>
  <c r="H6" i="2"/>
  <c r="G206" i="18"/>
  <c r="G205" i="18"/>
  <c r="G204" i="18"/>
  <c r="G203" i="18"/>
  <c r="G202" i="18"/>
  <c r="G201" i="18"/>
  <c r="G200" i="18"/>
  <c r="G199" i="18"/>
  <c r="G198" i="18"/>
  <c r="G197" i="18"/>
  <c r="G196" i="18"/>
  <c r="G195" i="18"/>
  <c r="G194" i="18"/>
  <c r="G193" i="18"/>
  <c r="G192" i="18"/>
  <c r="G191" i="18"/>
  <c r="G190" i="18"/>
  <c r="G189" i="18"/>
  <c r="G188" i="18"/>
  <c r="G187" i="18"/>
  <c r="G186" i="18"/>
  <c r="G185" i="18"/>
  <c r="G184" i="18"/>
  <c r="G183" i="18"/>
  <c r="G182" i="18"/>
  <c r="G181" i="18"/>
  <c r="G180" i="18"/>
  <c r="G179" i="18"/>
  <c r="G178" i="18"/>
  <c r="G177" i="18"/>
  <c r="G176" i="18"/>
  <c r="G175" i="18"/>
  <c r="G174" i="18"/>
  <c r="G173" i="18"/>
  <c r="G172" i="18"/>
  <c r="G171" i="18"/>
  <c r="G170" i="18"/>
  <c r="G169" i="18"/>
  <c r="G168" i="18"/>
  <c r="G167" i="18"/>
  <c r="G166" i="18"/>
  <c r="G165" i="18"/>
  <c r="G164" i="18"/>
  <c r="G163" i="18"/>
  <c r="G162" i="18"/>
  <c r="G161" i="18"/>
  <c r="G160" i="18"/>
  <c r="G159" i="18"/>
  <c r="G158" i="18"/>
  <c r="G157" i="18"/>
  <c r="G156" i="18"/>
  <c r="G155" i="18"/>
  <c r="G154" i="18"/>
  <c r="G153" i="18"/>
  <c r="G152" i="18"/>
  <c r="G151" i="18"/>
  <c r="G150" i="18"/>
  <c r="G149" i="18"/>
  <c r="G148" i="18"/>
  <c r="G147" i="18"/>
  <c r="G146" i="18"/>
  <c r="G145" i="18"/>
  <c r="G144" i="18"/>
  <c r="G143" i="18"/>
  <c r="G142" i="18"/>
  <c r="G141" i="18"/>
  <c r="G140" i="18"/>
  <c r="G139" i="18"/>
  <c r="G138" i="18"/>
  <c r="G137" i="18"/>
  <c r="G136" i="18"/>
  <c r="G135" i="18"/>
  <c r="G134" i="18"/>
  <c r="G133" i="18"/>
  <c r="G132" i="18"/>
  <c r="G131" i="18"/>
  <c r="G130" i="18"/>
  <c r="G129" i="18"/>
  <c r="G128" i="18"/>
  <c r="G127" i="18"/>
  <c r="G126" i="18"/>
  <c r="G125" i="18"/>
  <c r="G124" i="18"/>
  <c r="G123" i="18"/>
  <c r="G122" i="18"/>
  <c r="G121" i="18"/>
  <c r="G120" i="18"/>
  <c r="G119" i="18"/>
  <c r="G118" i="18"/>
  <c r="G117" i="18"/>
  <c r="G116" i="18"/>
  <c r="G115" i="18"/>
  <c r="G114" i="18"/>
  <c r="G113" i="18"/>
  <c r="G112" i="18"/>
  <c r="G111" i="18"/>
  <c r="G110" i="18"/>
  <c r="G109" i="18"/>
  <c r="G108" i="18"/>
  <c r="G107" i="18"/>
  <c r="G106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91" i="18"/>
  <c r="G90" i="18"/>
  <c r="G89" i="18"/>
  <c r="G88" i="18"/>
  <c r="G87" i="18"/>
  <c r="G86" i="18"/>
  <c r="G85" i="18"/>
  <c r="G84" i="18"/>
  <c r="G83" i="18"/>
  <c r="G82" i="18"/>
  <c r="G81" i="18"/>
  <c r="G80" i="18"/>
  <c r="G79" i="18"/>
  <c r="G78" i="18"/>
  <c r="G77" i="18"/>
  <c r="G76" i="18"/>
  <c r="G75" i="18"/>
  <c r="G74" i="18"/>
  <c r="G73" i="18"/>
  <c r="G72" i="18"/>
  <c r="G71" i="18"/>
  <c r="G70" i="18"/>
  <c r="G69" i="18"/>
  <c r="G68" i="18"/>
  <c r="G67" i="18"/>
  <c r="G66" i="18"/>
  <c r="G65" i="18"/>
  <c r="G64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206" i="17"/>
  <c r="G205" i="17"/>
  <c r="G204" i="17"/>
  <c r="G203" i="17"/>
  <c r="G202" i="17"/>
  <c r="G201" i="17"/>
  <c r="G200" i="17"/>
  <c r="G199" i="17"/>
  <c r="G198" i="17"/>
  <c r="G197" i="17"/>
  <c r="G196" i="17"/>
  <c r="G195" i="17"/>
  <c r="G194" i="17"/>
  <c r="G193" i="17"/>
  <c r="G192" i="17"/>
  <c r="G191" i="17"/>
  <c r="G190" i="17"/>
  <c r="G189" i="17"/>
  <c r="G188" i="17"/>
  <c r="G187" i="17"/>
  <c r="G186" i="17"/>
  <c r="G185" i="17"/>
  <c r="G184" i="17"/>
  <c r="G183" i="17"/>
  <c r="G182" i="17"/>
  <c r="G181" i="17"/>
  <c r="G180" i="17"/>
  <c r="G179" i="17"/>
  <c r="G178" i="17"/>
  <c r="G177" i="17"/>
  <c r="G176" i="17"/>
  <c r="G175" i="17"/>
  <c r="G174" i="17"/>
  <c r="G173" i="17"/>
  <c r="G172" i="17"/>
  <c r="G171" i="17"/>
  <c r="G170" i="17"/>
  <c r="G169" i="17"/>
  <c r="G168" i="17"/>
  <c r="G167" i="17"/>
  <c r="G166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52" i="17"/>
  <c r="G151" i="17"/>
  <c r="G150" i="17"/>
  <c r="G149" i="17"/>
  <c r="G148" i="17"/>
  <c r="G147" i="17"/>
  <c r="G146" i="17"/>
  <c r="G145" i="17"/>
  <c r="G144" i="17"/>
  <c r="G143" i="17"/>
  <c r="G142" i="17"/>
  <c r="G141" i="17"/>
  <c r="G140" i="17"/>
  <c r="G139" i="17"/>
  <c r="G138" i="17"/>
  <c r="G137" i="17"/>
  <c r="G136" i="17"/>
  <c r="G135" i="17"/>
  <c r="G134" i="17"/>
  <c r="G133" i="17"/>
  <c r="G132" i="17"/>
  <c r="G131" i="17"/>
  <c r="G130" i="17"/>
  <c r="G129" i="17"/>
  <c r="G128" i="17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6" i="17"/>
  <c r="G75" i="17"/>
  <c r="G74" i="17"/>
  <c r="G73" i="17"/>
  <c r="G72" i="17"/>
  <c r="G7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E7" i="2"/>
  <c r="E6" i="2"/>
  <c r="E5" i="2"/>
  <c r="H2" i="16"/>
  <c r="E6" i="16" s="1"/>
  <c r="G206" i="16"/>
  <c r="G205" i="16"/>
  <c r="G204" i="16"/>
  <c r="G203" i="16"/>
  <c r="G202" i="16"/>
  <c r="G201" i="16"/>
  <c r="G200" i="16"/>
  <c r="G199" i="16"/>
  <c r="G198" i="16"/>
  <c r="G197" i="16"/>
  <c r="G196" i="16"/>
  <c r="G195" i="16"/>
  <c r="G194" i="16"/>
  <c r="G193" i="16"/>
  <c r="G192" i="16"/>
  <c r="G191" i="16"/>
  <c r="G190" i="16"/>
  <c r="G189" i="16"/>
  <c r="G188" i="16"/>
  <c r="G187" i="16"/>
  <c r="G186" i="16"/>
  <c r="G185" i="16"/>
  <c r="G184" i="16"/>
  <c r="G183" i="16"/>
  <c r="G182" i="16"/>
  <c r="G181" i="16"/>
  <c r="G180" i="16"/>
  <c r="G179" i="16"/>
  <c r="G178" i="16"/>
  <c r="G177" i="16"/>
  <c r="G176" i="16"/>
  <c r="G175" i="16"/>
  <c r="G174" i="16"/>
  <c r="G173" i="16"/>
  <c r="G172" i="16"/>
  <c r="G171" i="16"/>
  <c r="G170" i="16"/>
  <c r="G169" i="16"/>
  <c r="G168" i="16"/>
  <c r="G167" i="16"/>
  <c r="G166" i="16"/>
  <c r="G165" i="16"/>
  <c r="G164" i="16"/>
  <c r="G163" i="16"/>
  <c r="G162" i="16"/>
  <c r="G161" i="16"/>
  <c r="G160" i="16"/>
  <c r="G159" i="16"/>
  <c r="G158" i="16"/>
  <c r="G157" i="16"/>
  <c r="G156" i="16"/>
  <c r="G155" i="16"/>
  <c r="G154" i="16"/>
  <c r="G153" i="16"/>
  <c r="G152" i="16"/>
  <c r="G151" i="16"/>
  <c r="G150" i="16"/>
  <c r="G149" i="16"/>
  <c r="G148" i="16"/>
  <c r="G147" i="16"/>
  <c r="G146" i="16"/>
  <c r="G145" i="16"/>
  <c r="G144" i="16"/>
  <c r="G143" i="16"/>
  <c r="G142" i="16"/>
  <c r="G141" i="16"/>
  <c r="G140" i="16"/>
  <c r="G139" i="16"/>
  <c r="G138" i="16"/>
  <c r="G137" i="16"/>
  <c r="G136" i="16"/>
  <c r="G135" i="16"/>
  <c r="G134" i="16"/>
  <c r="G133" i="16"/>
  <c r="G132" i="16"/>
  <c r="G131" i="16"/>
  <c r="G130" i="16"/>
  <c r="G129" i="16"/>
  <c r="G128" i="16"/>
  <c r="G127" i="16"/>
  <c r="G126" i="16"/>
  <c r="G125" i="16"/>
  <c r="G124" i="16"/>
  <c r="G123" i="16"/>
  <c r="G122" i="16"/>
  <c r="G121" i="16"/>
  <c r="G120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2" i="16"/>
  <c r="G101" i="16"/>
  <c r="G100" i="16"/>
  <c r="G99" i="16"/>
  <c r="G98" i="16"/>
  <c r="G97" i="16"/>
  <c r="G96" i="16"/>
  <c r="G95" i="16"/>
  <c r="G94" i="16"/>
  <c r="G93" i="16"/>
  <c r="G92" i="16"/>
  <c r="G91" i="16"/>
  <c r="G90" i="16"/>
  <c r="G89" i="16"/>
  <c r="G88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G71" i="16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B6" i="2"/>
  <c r="B7" i="2"/>
  <c r="B5" i="2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7" i="3"/>
  <c r="E6" i="3"/>
  <c r="H6" i="3" s="1"/>
  <c r="H6" i="16" l="1"/>
  <c r="H7" i="16" s="1"/>
  <c r="H8" i="16" s="1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H20" i="16" s="1"/>
  <c r="H21" i="16" s="1"/>
  <c r="H22" i="16" s="1"/>
  <c r="H23" i="16" s="1"/>
  <c r="H24" i="16" s="1"/>
  <c r="H25" i="16" s="1"/>
  <c r="H26" i="16" s="1"/>
  <c r="H27" i="16" s="1"/>
  <c r="H28" i="16" s="1"/>
  <c r="H29" i="16" s="1"/>
  <c r="H30" i="16" s="1"/>
  <c r="H31" i="16" s="1"/>
  <c r="H32" i="16" s="1"/>
  <c r="H33" i="16" s="1"/>
  <c r="H34" i="16" s="1"/>
  <c r="H35" i="16" s="1"/>
  <c r="H36" i="16" s="1"/>
  <c r="H37" i="16" s="1"/>
  <c r="H38" i="16" s="1"/>
  <c r="H39" i="16" s="1"/>
  <c r="H40" i="16" s="1"/>
  <c r="H41" i="16" s="1"/>
  <c r="H42" i="16" s="1"/>
  <c r="H43" i="16" s="1"/>
  <c r="H44" i="16" s="1"/>
  <c r="H45" i="16" s="1"/>
  <c r="H46" i="16" s="1"/>
  <c r="H47" i="16" s="1"/>
  <c r="H48" i="16" s="1"/>
  <c r="H49" i="16" s="1"/>
  <c r="H50" i="16" s="1"/>
  <c r="H51" i="16" s="1"/>
  <c r="H52" i="16" s="1"/>
  <c r="H53" i="16" s="1"/>
  <c r="H54" i="16" s="1"/>
  <c r="H55" i="16" s="1"/>
  <c r="H56" i="16" s="1"/>
  <c r="H57" i="16" s="1"/>
  <c r="H58" i="16" s="1"/>
  <c r="H59" i="16" s="1"/>
  <c r="H60" i="16" s="1"/>
  <c r="H61" i="16" s="1"/>
  <c r="H62" i="16" s="1"/>
  <c r="H63" i="16" s="1"/>
  <c r="H64" i="16" s="1"/>
  <c r="H65" i="16" s="1"/>
  <c r="H66" i="16" s="1"/>
  <c r="H67" i="16" s="1"/>
  <c r="H68" i="16" s="1"/>
  <c r="H69" i="16" s="1"/>
  <c r="H70" i="16" s="1"/>
  <c r="H71" i="16" s="1"/>
  <c r="H72" i="16" s="1"/>
  <c r="H73" i="16" s="1"/>
  <c r="H74" i="16" s="1"/>
  <c r="H75" i="16" s="1"/>
  <c r="H76" i="16" s="1"/>
  <c r="H77" i="16" s="1"/>
  <c r="H78" i="16" s="1"/>
  <c r="H79" i="16" s="1"/>
  <c r="H80" i="16" s="1"/>
  <c r="H81" i="16" s="1"/>
  <c r="H82" i="16" s="1"/>
  <c r="H83" i="16" s="1"/>
  <c r="H84" i="16" s="1"/>
  <c r="H85" i="16" s="1"/>
  <c r="H86" i="16" s="1"/>
  <c r="H87" i="16" s="1"/>
  <c r="H88" i="16" s="1"/>
  <c r="H89" i="16" s="1"/>
  <c r="H90" i="16" s="1"/>
  <c r="H91" i="16" s="1"/>
  <c r="H92" i="16" s="1"/>
  <c r="H93" i="16" s="1"/>
  <c r="H94" i="16" s="1"/>
  <c r="H95" i="16" s="1"/>
  <c r="H96" i="16" s="1"/>
  <c r="H97" i="16" s="1"/>
  <c r="H98" i="16" s="1"/>
  <c r="H99" i="16" s="1"/>
  <c r="H100" i="16" s="1"/>
  <c r="H101" i="16" s="1"/>
  <c r="H102" i="16" s="1"/>
  <c r="H103" i="16" s="1"/>
  <c r="H104" i="16" s="1"/>
  <c r="H105" i="16" s="1"/>
  <c r="H106" i="16" s="1"/>
  <c r="H107" i="16" s="1"/>
  <c r="H108" i="16" s="1"/>
  <c r="H109" i="16" s="1"/>
  <c r="H110" i="16" s="1"/>
  <c r="H111" i="16" s="1"/>
  <c r="H112" i="16" s="1"/>
  <c r="H113" i="16" s="1"/>
  <c r="H114" i="16" s="1"/>
  <c r="H115" i="16" s="1"/>
  <c r="H116" i="16" s="1"/>
  <c r="H117" i="16" s="1"/>
  <c r="H118" i="16" s="1"/>
  <c r="H119" i="16" s="1"/>
  <c r="H120" i="16" s="1"/>
  <c r="H121" i="16" s="1"/>
  <c r="H122" i="16" s="1"/>
  <c r="H123" i="16" s="1"/>
  <c r="H124" i="16" s="1"/>
  <c r="H125" i="16" s="1"/>
  <c r="H126" i="16" s="1"/>
  <c r="H127" i="16" s="1"/>
  <c r="H128" i="16" s="1"/>
  <c r="H129" i="16" s="1"/>
  <c r="H130" i="16" s="1"/>
  <c r="H131" i="16" s="1"/>
  <c r="H132" i="16" s="1"/>
  <c r="H133" i="16" s="1"/>
  <c r="H134" i="16" s="1"/>
  <c r="H135" i="16" s="1"/>
  <c r="H136" i="16" s="1"/>
  <c r="H137" i="16" s="1"/>
  <c r="H138" i="16" s="1"/>
  <c r="H139" i="16" s="1"/>
  <c r="H140" i="16" s="1"/>
  <c r="H141" i="16" s="1"/>
  <c r="H142" i="16" s="1"/>
  <c r="H143" i="16" s="1"/>
  <c r="H144" i="16" s="1"/>
  <c r="H145" i="16" s="1"/>
  <c r="H146" i="16" s="1"/>
  <c r="H147" i="16" s="1"/>
  <c r="H148" i="16" s="1"/>
  <c r="H149" i="16" s="1"/>
  <c r="H150" i="16" s="1"/>
  <c r="H151" i="16" s="1"/>
  <c r="H152" i="16" s="1"/>
  <c r="H153" i="16" s="1"/>
  <c r="H154" i="16" s="1"/>
  <c r="H155" i="16" s="1"/>
  <c r="H156" i="16" s="1"/>
  <c r="H157" i="16" s="1"/>
  <c r="H158" i="16" s="1"/>
  <c r="H159" i="16" s="1"/>
  <c r="H160" i="16" s="1"/>
  <c r="H161" i="16" s="1"/>
  <c r="H162" i="16" s="1"/>
  <c r="H163" i="16" s="1"/>
  <c r="H164" i="16" s="1"/>
  <c r="H165" i="16" s="1"/>
  <c r="H166" i="16" s="1"/>
  <c r="H167" i="16" s="1"/>
  <c r="H168" i="16" s="1"/>
  <c r="H169" i="16" s="1"/>
  <c r="H170" i="16" s="1"/>
  <c r="H171" i="16" s="1"/>
  <c r="H172" i="16" s="1"/>
  <c r="H173" i="16" s="1"/>
  <c r="H174" i="16" s="1"/>
  <c r="H175" i="16" s="1"/>
  <c r="H176" i="16" s="1"/>
  <c r="H177" i="16" s="1"/>
  <c r="H178" i="16" s="1"/>
  <c r="H179" i="16" s="1"/>
  <c r="H180" i="16" s="1"/>
  <c r="H181" i="16" s="1"/>
  <c r="H182" i="16" s="1"/>
  <c r="H183" i="16" s="1"/>
  <c r="H184" i="16" s="1"/>
  <c r="H185" i="16" s="1"/>
  <c r="H186" i="16" s="1"/>
  <c r="H187" i="16" s="1"/>
  <c r="H188" i="16" s="1"/>
  <c r="H189" i="16" s="1"/>
  <c r="H190" i="16" s="1"/>
  <c r="H191" i="16" s="1"/>
  <c r="H192" i="16" s="1"/>
  <c r="H193" i="16" s="1"/>
  <c r="H194" i="16" s="1"/>
  <c r="H195" i="16" s="1"/>
  <c r="H196" i="16" s="1"/>
  <c r="H197" i="16" s="1"/>
  <c r="H198" i="16" s="1"/>
  <c r="H199" i="16" s="1"/>
  <c r="H200" i="16" s="1"/>
  <c r="H201" i="16" s="1"/>
  <c r="H202" i="16" s="1"/>
  <c r="H203" i="16" s="1"/>
  <c r="H204" i="16" s="1"/>
  <c r="H205" i="16" s="1"/>
  <c r="H206" i="16" s="1"/>
  <c r="H2" i="17" s="1"/>
  <c r="E6" i="17" s="1"/>
  <c r="G6" i="17" s="1"/>
  <c r="G6" i="16"/>
  <c r="H7" i="3"/>
  <c r="H8" i="3" s="1"/>
  <c r="B8" i="2"/>
  <c r="E8" i="2"/>
  <c r="H5" i="2" s="1"/>
  <c r="H8" i="2" s="1"/>
  <c r="K5" i="2" s="1"/>
  <c r="K8" i="2" s="1"/>
  <c r="N5" i="2" s="1"/>
  <c r="N8" i="2" s="1"/>
  <c r="Q5" i="2" s="1"/>
  <c r="Q8" i="2" s="1"/>
  <c r="B11" i="2" s="1"/>
  <c r="B14" i="2" s="1"/>
  <c r="E11" i="2" s="1"/>
  <c r="E14" i="2" s="1"/>
  <c r="H11" i="2" s="1"/>
  <c r="H14" i="2" s="1"/>
  <c r="K11" i="2" s="1"/>
  <c r="K14" i="2" s="1"/>
  <c r="N11" i="2" s="1"/>
  <c r="N14" i="2" s="1"/>
  <c r="Q11" i="2" s="1"/>
  <c r="Q14" i="2" s="1"/>
  <c r="H9" i="3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G6" i="3"/>
  <c r="H6" i="17" l="1"/>
  <c r="H7" i="17" s="1"/>
  <c r="H8" i="17" s="1"/>
  <c r="H9" i="17" s="1"/>
  <c r="H10" i="17" s="1"/>
  <c r="H11" i="17" s="1"/>
  <c r="H12" i="17" s="1"/>
  <c r="H13" i="17" s="1"/>
  <c r="H14" i="17" s="1"/>
  <c r="H15" i="17" s="1"/>
  <c r="H16" i="17" s="1"/>
  <c r="H17" i="17" s="1"/>
  <c r="H18" i="17" s="1"/>
  <c r="H19" i="17" s="1"/>
  <c r="H20" i="17" s="1"/>
  <c r="H21" i="17" s="1"/>
  <c r="H22" i="17" s="1"/>
  <c r="H23" i="17" s="1"/>
  <c r="H24" i="17" s="1"/>
  <c r="H25" i="17" s="1"/>
  <c r="H26" i="17" s="1"/>
  <c r="H27" i="17" s="1"/>
  <c r="H28" i="17" s="1"/>
  <c r="H29" i="17" s="1"/>
  <c r="H30" i="17" s="1"/>
  <c r="H31" i="17" s="1"/>
  <c r="H32" i="17" s="1"/>
  <c r="H33" i="17" s="1"/>
  <c r="H34" i="17" s="1"/>
  <c r="H35" i="17" s="1"/>
  <c r="H36" i="17" s="1"/>
  <c r="H37" i="17" s="1"/>
  <c r="H38" i="17" s="1"/>
  <c r="H39" i="17" s="1"/>
  <c r="H40" i="17" s="1"/>
  <c r="H41" i="17" s="1"/>
  <c r="H42" i="17" s="1"/>
  <c r="H43" i="17" s="1"/>
  <c r="H44" i="17" s="1"/>
  <c r="H45" i="17" s="1"/>
  <c r="H46" i="17" s="1"/>
  <c r="H47" i="17" s="1"/>
  <c r="H48" i="17" s="1"/>
  <c r="H49" i="17" s="1"/>
  <c r="H50" i="17" s="1"/>
  <c r="H51" i="17" s="1"/>
  <c r="H52" i="17" s="1"/>
  <c r="H53" i="17" s="1"/>
  <c r="H54" i="17" s="1"/>
  <c r="H55" i="17" s="1"/>
  <c r="H56" i="17" s="1"/>
  <c r="H57" i="17" s="1"/>
  <c r="H58" i="17" s="1"/>
  <c r="H59" i="17" s="1"/>
  <c r="H60" i="17" s="1"/>
  <c r="H61" i="17" s="1"/>
  <c r="H62" i="17" s="1"/>
  <c r="H63" i="17" s="1"/>
  <c r="H64" i="17" s="1"/>
  <c r="H65" i="17" s="1"/>
  <c r="H66" i="17" s="1"/>
  <c r="H67" i="17" s="1"/>
  <c r="H68" i="17" s="1"/>
  <c r="H69" i="17" s="1"/>
  <c r="H70" i="17" s="1"/>
  <c r="H71" i="17" s="1"/>
  <c r="H72" i="17" s="1"/>
  <c r="H73" i="17" s="1"/>
  <c r="H74" i="17" s="1"/>
  <c r="H75" i="17" s="1"/>
  <c r="H76" i="17" s="1"/>
  <c r="H77" i="17" s="1"/>
  <c r="H78" i="17" s="1"/>
  <c r="H79" i="17" s="1"/>
  <c r="H80" i="17" s="1"/>
  <c r="H81" i="17" s="1"/>
  <c r="H82" i="17" s="1"/>
  <c r="H83" i="17" s="1"/>
  <c r="H84" i="17" s="1"/>
  <c r="H85" i="17" s="1"/>
  <c r="H86" i="17" s="1"/>
  <c r="H87" i="17" s="1"/>
  <c r="H88" i="17" s="1"/>
  <c r="H89" i="17" s="1"/>
  <c r="H90" i="17" s="1"/>
  <c r="H91" i="17" s="1"/>
  <c r="H92" i="17" s="1"/>
  <c r="H93" i="17" s="1"/>
  <c r="H94" i="17" s="1"/>
  <c r="H95" i="17" s="1"/>
  <c r="H96" i="17" s="1"/>
  <c r="H97" i="17" s="1"/>
  <c r="H98" i="17" s="1"/>
  <c r="H99" i="17" s="1"/>
  <c r="H100" i="17" s="1"/>
  <c r="H101" i="17" s="1"/>
  <c r="H102" i="17" s="1"/>
  <c r="H103" i="17" s="1"/>
  <c r="H104" i="17" s="1"/>
  <c r="H105" i="17" s="1"/>
  <c r="H106" i="17" s="1"/>
  <c r="H107" i="17" s="1"/>
  <c r="H108" i="17" s="1"/>
  <c r="H109" i="17" s="1"/>
  <c r="H110" i="17" s="1"/>
  <c r="H111" i="17" s="1"/>
  <c r="H112" i="17" s="1"/>
  <c r="H113" i="17" s="1"/>
  <c r="H114" i="17" s="1"/>
  <c r="H115" i="17" s="1"/>
  <c r="H116" i="17" s="1"/>
  <c r="H117" i="17" s="1"/>
  <c r="H118" i="17" s="1"/>
  <c r="H119" i="17" s="1"/>
  <c r="H120" i="17" s="1"/>
  <c r="H121" i="17" s="1"/>
  <c r="H122" i="17" s="1"/>
  <c r="H123" i="17" s="1"/>
  <c r="H124" i="17" s="1"/>
  <c r="H125" i="17" s="1"/>
  <c r="H126" i="17" s="1"/>
  <c r="H127" i="17" s="1"/>
  <c r="H128" i="17" s="1"/>
  <c r="H129" i="17" s="1"/>
  <c r="H130" i="17" s="1"/>
  <c r="H131" i="17" s="1"/>
  <c r="H132" i="17" s="1"/>
  <c r="H133" i="17" s="1"/>
  <c r="H134" i="17" s="1"/>
  <c r="H135" i="17" s="1"/>
  <c r="H136" i="17" s="1"/>
  <c r="H137" i="17" s="1"/>
  <c r="H138" i="17" s="1"/>
  <c r="H139" i="17" s="1"/>
  <c r="H140" i="17" s="1"/>
  <c r="H141" i="17" s="1"/>
  <c r="H142" i="17" s="1"/>
  <c r="H143" i="17" s="1"/>
  <c r="H144" i="17" s="1"/>
  <c r="H145" i="17" s="1"/>
  <c r="H146" i="17" s="1"/>
  <c r="H147" i="17" s="1"/>
  <c r="H148" i="17" s="1"/>
  <c r="H149" i="17" s="1"/>
  <c r="H150" i="17" s="1"/>
  <c r="H151" i="17" s="1"/>
  <c r="H152" i="17" s="1"/>
  <c r="H153" i="17" s="1"/>
  <c r="H154" i="17" s="1"/>
  <c r="H155" i="17" s="1"/>
  <c r="H156" i="17" s="1"/>
  <c r="H157" i="17" s="1"/>
  <c r="H158" i="17" s="1"/>
  <c r="H159" i="17" s="1"/>
  <c r="H160" i="17" s="1"/>
  <c r="H161" i="17" s="1"/>
  <c r="H162" i="17" s="1"/>
  <c r="H163" i="17" s="1"/>
  <c r="H164" i="17" s="1"/>
  <c r="H165" i="17" s="1"/>
  <c r="H166" i="17" s="1"/>
  <c r="H167" i="17" s="1"/>
  <c r="H168" i="17" s="1"/>
  <c r="H169" i="17" s="1"/>
  <c r="H170" i="17" s="1"/>
  <c r="H171" i="17" s="1"/>
  <c r="H172" i="17" s="1"/>
  <c r="H173" i="17" s="1"/>
  <c r="H174" i="17" s="1"/>
  <c r="H175" i="17" s="1"/>
  <c r="H176" i="17" s="1"/>
  <c r="H177" i="17" s="1"/>
  <c r="H178" i="17" s="1"/>
  <c r="H179" i="17" s="1"/>
  <c r="H180" i="17" s="1"/>
  <c r="H181" i="17" s="1"/>
  <c r="H182" i="17" s="1"/>
  <c r="H183" i="17" s="1"/>
  <c r="H184" i="17" s="1"/>
  <c r="H185" i="17" s="1"/>
  <c r="H186" i="17" s="1"/>
  <c r="H187" i="17" s="1"/>
  <c r="H188" i="17" s="1"/>
  <c r="H189" i="17" s="1"/>
  <c r="H190" i="17" s="1"/>
  <c r="H191" i="17" s="1"/>
  <c r="H192" i="17" s="1"/>
  <c r="H193" i="17" s="1"/>
  <c r="H194" i="17" s="1"/>
  <c r="H195" i="17" s="1"/>
  <c r="H196" i="17" s="1"/>
  <c r="H197" i="17" s="1"/>
  <c r="H198" i="17" s="1"/>
  <c r="H199" i="17" s="1"/>
  <c r="H200" i="17" s="1"/>
  <c r="H201" i="17" s="1"/>
  <c r="H202" i="17" s="1"/>
  <c r="H203" i="17" s="1"/>
  <c r="H204" i="17" s="1"/>
  <c r="H205" i="17" s="1"/>
  <c r="H206" i="17" s="1"/>
  <c r="H2" i="18" s="1"/>
  <c r="E6" i="18" s="1"/>
  <c r="H6" i="18" l="1"/>
  <c r="H7" i="18" s="1"/>
  <c r="H8" i="18" s="1"/>
  <c r="H9" i="18" s="1"/>
  <c r="H10" i="18" s="1"/>
  <c r="H11" i="18" s="1"/>
  <c r="H12" i="18" s="1"/>
  <c r="H13" i="18" s="1"/>
  <c r="H14" i="18" s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H35" i="18" s="1"/>
  <c r="H36" i="18" s="1"/>
  <c r="H37" i="18" s="1"/>
  <c r="H38" i="18" s="1"/>
  <c r="H39" i="18" s="1"/>
  <c r="H40" i="18" s="1"/>
  <c r="H41" i="18" s="1"/>
  <c r="H42" i="18" s="1"/>
  <c r="H43" i="18" s="1"/>
  <c r="H44" i="18" s="1"/>
  <c r="H45" i="18" s="1"/>
  <c r="H46" i="18" s="1"/>
  <c r="H47" i="18" s="1"/>
  <c r="H48" i="18" s="1"/>
  <c r="H49" i="18" s="1"/>
  <c r="H50" i="18" s="1"/>
  <c r="H51" i="18" s="1"/>
  <c r="H52" i="18" s="1"/>
  <c r="H53" i="18" s="1"/>
  <c r="H54" i="18" s="1"/>
  <c r="H55" i="18" s="1"/>
  <c r="H56" i="18" s="1"/>
  <c r="H57" i="18" s="1"/>
  <c r="H58" i="18" s="1"/>
  <c r="H59" i="18" s="1"/>
  <c r="H60" i="18" s="1"/>
  <c r="H61" i="18" s="1"/>
  <c r="H62" i="18" s="1"/>
  <c r="H63" i="18" s="1"/>
  <c r="H64" i="18" s="1"/>
  <c r="H65" i="18" s="1"/>
  <c r="H66" i="18" s="1"/>
  <c r="H67" i="18" s="1"/>
  <c r="H68" i="18" s="1"/>
  <c r="H69" i="18" s="1"/>
  <c r="H70" i="18" s="1"/>
  <c r="H71" i="18" s="1"/>
  <c r="H72" i="18" s="1"/>
  <c r="H73" i="18" s="1"/>
  <c r="H74" i="18" s="1"/>
  <c r="H75" i="18" s="1"/>
  <c r="H76" i="18" s="1"/>
  <c r="H77" i="18" s="1"/>
  <c r="H78" i="18" s="1"/>
  <c r="H79" i="18" s="1"/>
  <c r="H80" i="18" s="1"/>
  <c r="H81" i="18" s="1"/>
  <c r="H82" i="18" s="1"/>
  <c r="H83" i="18" s="1"/>
  <c r="H84" i="18" s="1"/>
  <c r="H85" i="18" s="1"/>
  <c r="H86" i="18" s="1"/>
  <c r="H87" i="18" s="1"/>
  <c r="H88" i="18" s="1"/>
  <c r="H89" i="18" s="1"/>
  <c r="H90" i="18" s="1"/>
  <c r="H91" i="18" s="1"/>
  <c r="H92" i="18" s="1"/>
  <c r="H93" i="18" s="1"/>
  <c r="H94" i="18" s="1"/>
  <c r="H95" i="18" s="1"/>
  <c r="H96" i="18" s="1"/>
  <c r="H97" i="18" s="1"/>
  <c r="H98" i="18" s="1"/>
  <c r="H99" i="18" s="1"/>
  <c r="H100" i="18" s="1"/>
  <c r="H101" i="18" s="1"/>
  <c r="H102" i="18" s="1"/>
  <c r="H103" i="18" s="1"/>
  <c r="H104" i="18" s="1"/>
  <c r="H105" i="18" s="1"/>
  <c r="H106" i="18" s="1"/>
  <c r="H107" i="18" s="1"/>
  <c r="H108" i="18" s="1"/>
  <c r="H109" i="18" s="1"/>
  <c r="H110" i="18" s="1"/>
  <c r="H111" i="18" s="1"/>
  <c r="H112" i="18" s="1"/>
  <c r="H113" i="18" s="1"/>
  <c r="H114" i="18" s="1"/>
  <c r="H115" i="18" s="1"/>
  <c r="H116" i="18" s="1"/>
  <c r="H117" i="18" s="1"/>
  <c r="H118" i="18" s="1"/>
  <c r="H119" i="18" s="1"/>
  <c r="H120" i="18" s="1"/>
  <c r="H121" i="18" s="1"/>
  <c r="H122" i="18" s="1"/>
  <c r="H123" i="18" s="1"/>
  <c r="H124" i="18" s="1"/>
  <c r="H125" i="18" s="1"/>
  <c r="H126" i="18" s="1"/>
  <c r="H127" i="18" s="1"/>
  <c r="H128" i="18" s="1"/>
  <c r="H129" i="18" s="1"/>
  <c r="H130" i="18" s="1"/>
  <c r="H131" i="18" s="1"/>
  <c r="H132" i="18" s="1"/>
  <c r="H133" i="18" s="1"/>
  <c r="H134" i="18" s="1"/>
  <c r="H135" i="18" s="1"/>
  <c r="H136" i="18" s="1"/>
  <c r="H137" i="18" s="1"/>
  <c r="H138" i="18" s="1"/>
  <c r="H139" i="18" s="1"/>
  <c r="H140" i="18" s="1"/>
  <c r="H141" i="18" s="1"/>
  <c r="H142" i="18" s="1"/>
  <c r="H143" i="18" s="1"/>
  <c r="H144" i="18" s="1"/>
  <c r="H145" i="18" s="1"/>
  <c r="H146" i="18" s="1"/>
  <c r="H147" i="18" s="1"/>
  <c r="H148" i="18" s="1"/>
  <c r="H149" i="18" s="1"/>
  <c r="H150" i="18" s="1"/>
  <c r="H151" i="18" s="1"/>
  <c r="H152" i="18" s="1"/>
  <c r="H153" i="18" s="1"/>
  <c r="H154" i="18" s="1"/>
  <c r="H155" i="18" s="1"/>
  <c r="H156" i="18" s="1"/>
  <c r="H157" i="18" s="1"/>
  <c r="H158" i="18" s="1"/>
  <c r="H159" i="18" s="1"/>
  <c r="H160" i="18" s="1"/>
  <c r="H161" i="18" s="1"/>
  <c r="H162" i="18" s="1"/>
  <c r="H163" i="18" s="1"/>
  <c r="H164" i="18" s="1"/>
  <c r="H165" i="18" s="1"/>
  <c r="H166" i="18" s="1"/>
  <c r="H167" i="18" s="1"/>
  <c r="H168" i="18" s="1"/>
  <c r="H169" i="18" s="1"/>
  <c r="H170" i="18" s="1"/>
  <c r="H171" i="18" s="1"/>
  <c r="H172" i="18" s="1"/>
  <c r="H173" i="18" s="1"/>
  <c r="H174" i="18" s="1"/>
  <c r="H175" i="18" s="1"/>
  <c r="H176" i="18" s="1"/>
  <c r="H177" i="18" s="1"/>
  <c r="H178" i="18" s="1"/>
  <c r="H179" i="18" s="1"/>
  <c r="H180" i="18" s="1"/>
  <c r="H181" i="18" s="1"/>
  <c r="H182" i="18" s="1"/>
  <c r="H183" i="18" s="1"/>
  <c r="H184" i="18" s="1"/>
  <c r="H185" i="18" s="1"/>
  <c r="H186" i="18" s="1"/>
  <c r="H187" i="18" s="1"/>
  <c r="H188" i="18" s="1"/>
  <c r="H189" i="18" s="1"/>
  <c r="H190" i="18" s="1"/>
  <c r="H191" i="18" s="1"/>
  <c r="H192" i="18" s="1"/>
  <c r="H193" i="18" s="1"/>
  <c r="H194" i="18" s="1"/>
  <c r="H195" i="18" s="1"/>
  <c r="H196" i="18" s="1"/>
  <c r="H197" i="18" s="1"/>
  <c r="H198" i="18" s="1"/>
  <c r="H199" i="18" s="1"/>
  <c r="H200" i="18" s="1"/>
  <c r="H201" i="18" s="1"/>
  <c r="H202" i="18" s="1"/>
  <c r="H203" i="18" s="1"/>
  <c r="H204" i="18" s="1"/>
  <c r="H205" i="18" s="1"/>
  <c r="H206" i="18" s="1"/>
  <c r="H2" i="19" s="1"/>
  <c r="E6" i="19" s="1"/>
  <c r="G6" i="18"/>
  <c r="H6" i="19" l="1"/>
  <c r="H7" i="19" s="1"/>
  <c r="H8" i="19" s="1"/>
  <c r="H9" i="19" s="1"/>
  <c r="H10" i="19" s="1"/>
  <c r="H11" i="19" s="1"/>
  <c r="H12" i="19" s="1"/>
  <c r="H13" i="19" s="1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H37" i="19" s="1"/>
  <c r="H38" i="19" s="1"/>
  <c r="H39" i="19" s="1"/>
  <c r="H40" i="19" s="1"/>
  <c r="H41" i="19" s="1"/>
  <c r="H42" i="19" s="1"/>
  <c r="H43" i="19" s="1"/>
  <c r="H44" i="19" s="1"/>
  <c r="H45" i="19" s="1"/>
  <c r="H46" i="19" s="1"/>
  <c r="H47" i="19" s="1"/>
  <c r="H48" i="19" s="1"/>
  <c r="H49" i="19" s="1"/>
  <c r="H50" i="19" s="1"/>
  <c r="H51" i="19" s="1"/>
  <c r="H52" i="19" s="1"/>
  <c r="H53" i="19" s="1"/>
  <c r="H54" i="19" s="1"/>
  <c r="H55" i="19" s="1"/>
  <c r="H56" i="19" s="1"/>
  <c r="H57" i="19" s="1"/>
  <c r="H58" i="19" s="1"/>
  <c r="H59" i="19" s="1"/>
  <c r="H60" i="19" s="1"/>
  <c r="H61" i="19" s="1"/>
  <c r="H62" i="19" s="1"/>
  <c r="H63" i="19" s="1"/>
  <c r="H64" i="19" s="1"/>
  <c r="H65" i="19" s="1"/>
  <c r="H66" i="19" s="1"/>
  <c r="H67" i="19" s="1"/>
  <c r="H68" i="19" s="1"/>
  <c r="H69" i="19" s="1"/>
  <c r="H70" i="19" s="1"/>
  <c r="H71" i="19" s="1"/>
  <c r="H72" i="19" s="1"/>
  <c r="H73" i="19" s="1"/>
  <c r="H74" i="19" s="1"/>
  <c r="H75" i="19" s="1"/>
  <c r="H76" i="19" s="1"/>
  <c r="H77" i="19" s="1"/>
  <c r="H78" i="19" s="1"/>
  <c r="H79" i="19" s="1"/>
  <c r="H80" i="19" s="1"/>
  <c r="H81" i="19" s="1"/>
  <c r="H82" i="19" s="1"/>
  <c r="H83" i="19" s="1"/>
  <c r="H84" i="19" s="1"/>
  <c r="H85" i="19" s="1"/>
  <c r="H86" i="19" s="1"/>
  <c r="H87" i="19" s="1"/>
  <c r="H88" i="19" s="1"/>
  <c r="H89" i="19" s="1"/>
  <c r="H90" i="19" s="1"/>
  <c r="H91" i="19" s="1"/>
  <c r="H92" i="19" s="1"/>
  <c r="H93" i="19" s="1"/>
  <c r="H94" i="19" s="1"/>
  <c r="H95" i="19" s="1"/>
  <c r="H96" i="19" s="1"/>
  <c r="H97" i="19" s="1"/>
  <c r="H98" i="19" s="1"/>
  <c r="H99" i="19" s="1"/>
  <c r="H100" i="19" s="1"/>
  <c r="H101" i="19" s="1"/>
  <c r="H102" i="19" s="1"/>
  <c r="H103" i="19" s="1"/>
  <c r="H104" i="19" s="1"/>
  <c r="H105" i="19" s="1"/>
  <c r="H106" i="19" s="1"/>
  <c r="H107" i="19" s="1"/>
  <c r="H108" i="19" s="1"/>
  <c r="H109" i="19" s="1"/>
  <c r="H110" i="19" s="1"/>
  <c r="H111" i="19" s="1"/>
  <c r="H112" i="19" s="1"/>
  <c r="H113" i="19" s="1"/>
  <c r="H114" i="19" s="1"/>
  <c r="H115" i="19" s="1"/>
  <c r="H116" i="19" s="1"/>
  <c r="H117" i="19" s="1"/>
  <c r="H118" i="19" s="1"/>
  <c r="H119" i="19" s="1"/>
  <c r="H120" i="19" s="1"/>
  <c r="H121" i="19" s="1"/>
  <c r="H122" i="19" s="1"/>
  <c r="H123" i="19" s="1"/>
  <c r="H124" i="19" s="1"/>
  <c r="H125" i="19" s="1"/>
  <c r="H126" i="19" s="1"/>
  <c r="H127" i="19" s="1"/>
  <c r="H128" i="19" s="1"/>
  <c r="H129" i="19" s="1"/>
  <c r="H130" i="19" s="1"/>
  <c r="H131" i="19" s="1"/>
  <c r="H132" i="19" s="1"/>
  <c r="H133" i="19" s="1"/>
  <c r="H134" i="19" s="1"/>
  <c r="H135" i="19" s="1"/>
  <c r="H136" i="19" s="1"/>
  <c r="H137" i="19" s="1"/>
  <c r="H138" i="19" s="1"/>
  <c r="H139" i="19" s="1"/>
  <c r="H140" i="19" s="1"/>
  <c r="H141" i="19" s="1"/>
  <c r="H142" i="19" s="1"/>
  <c r="H143" i="19" s="1"/>
  <c r="H144" i="19" s="1"/>
  <c r="H145" i="19" s="1"/>
  <c r="H146" i="19" s="1"/>
  <c r="H147" i="19" s="1"/>
  <c r="H148" i="19" s="1"/>
  <c r="H149" i="19" s="1"/>
  <c r="H150" i="19" s="1"/>
  <c r="H151" i="19" s="1"/>
  <c r="H152" i="19" s="1"/>
  <c r="H153" i="19" s="1"/>
  <c r="H154" i="19" s="1"/>
  <c r="H155" i="19" s="1"/>
  <c r="H156" i="19" s="1"/>
  <c r="H157" i="19" s="1"/>
  <c r="H158" i="19" s="1"/>
  <c r="H159" i="19" s="1"/>
  <c r="H160" i="19" s="1"/>
  <c r="H161" i="19" s="1"/>
  <c r="H162" i="19" s="1"/>
  <c r="H163" i="19" s="1"/>
  <c r="H164" i="19" s="1"/>
  <c r="H165" i="19" s="1"/>
  <c r="H166" i="19" s="1"/>
  <c r="H167" i="19" s="1"/>
  <c r="H168" i="19" s="1"/>
  <c r="H169" i="19" s="1"/>
  <c r="H170" i="19" s="1"/>
  <c r="H171" i="19" s="1"/>
  <c r="H172" i="19" s="1"/>
  <c r="H173" i="19" s="1"/>
  <c r="H174" i="19" s="1"/>
  <c r="H175" i="19" s="1"/>
  <c r="H176" i="19" s="1"/>
  <c r="H177" i="19" s="1"/>
  <c r="H178" i="19" s="1"/>
  <c r="H179" i="19" s="1"/>
  <c r="H180" i="19" s="1"/>
  <c r="H181" i="19" s="1"/>
  <c r="H182" i="19" s="1"/>
  <c r="H183" i="19" s="1"/>
  <c r="H184" i="19" s="1"/>
  <c r="H185" i="19" s="1"/>
  <c r="H186" i="19" s="1"/>
  <c r="H187" i="19" s="1"/>
  <c r="H188" i="19" s="1"/>
  <c r="H189" i="19" s="1"/>
  <c r="H190" i="19" s="1"/>
  <c r="H191" i="19" s="1"/>
  <c r="H192" i="19" s="1"/>
  <c r="H193" i="19" s="1"/>
  <c r="H194" i="19" s="1"/>
  <c r="H195" i="19" s="1"/>
  <c r="H196" i="19" s="1"/>
  <c r="H197" i="19" s="1"/>
  <c r="H198" i="19" s="1"/>
  <c r="H199" i="19" s="1"/>
  <c r="H200" i="19" s="1"/>
  <c r="H201" i="19" s="1"/>
  <c r="H202" i="19" s="1"/>
  <c r="H203" i="19" s="1"/>
  <c r="H204" i="19" s="1"/>
  <c r="H205" i="19" s="1"/>
  <c r="H206" i="19" s="1"/>
  <c r="H2" i="20" s="1"/>
  <c r="E6" i="20" s="1"/>
  <c r="G6" i="19"/>
  <c r="G6" i="20" l="1"/>
  <c r="H6" i="20"/>
  <c r="H7" i="20" s="1"/>
  <c r="H8" i="20" s="1"/>
  <c r="H9" i="20" s="1"/>
  <c r="H10" i="20" s="1"/>
  <c r="H11" i="20" s="1"/>
  <c r="H12" i="20" s="1"/>
  <c r="H13" i="20" s="1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H34" i="20" s="1"/>
  <c r="H35" i="20" s="1"/>
  <c r="H36" i="20" s="1"/>
  <c r="H37" i="20" s="1"/>
  <c r="H38" i="20" s="1"/>
  <c r="H39" i="20" s="1"/>
  <c r="H40" i="20" s="1"/>
  <c r="H41" i="20" s="1"/>
  <c r="H42" i="20" s="1"/>
  <c r="H43" i="20" s="1"/>
  <c r="H44" i="20" s="1"/>
  <c r="H45" i="20" s="1"/>
  <c r="H46" i="20" s="1"/>
  <c r="H47" i="20" s="1"/>
  <c r="H48" i="20" s="1"/>
  <c r="H49" i="20" s="1"/>
  <c r="H50" i="20" s="1"/>
  <c r="H51" i="20" s="1"/>
  <c r="H52" i="20" s="1"/>
  <c r="H53" i="20" s="1"/>
  <c r="H54" i="20" s="1"/>
  <c r="H55" i="20" s="1"/>
  <c r="H56" i="20" s="1"/>
  <c r="H57" i="20" s="1"/>
  <c r="H58" i="20" s="1"/>
  <c r="H59" i="20" s="1"/>
  <c r="H60" i="20" s="1"/>
  <c r="H61" i="20" s="1"/>
  <c r="H62" i="20" s="1"/>
  <c r="H63" i="20" s="1"/>
  <c r="H64" i="20" s="1"/>
  <c r="H65" i="20" s="1"/>
  <c r="H66" i="20" s="1"/>
  <c r="H67" i="20" s="1"/>
  <c r="H68" i="20" s="1"/>
  <c r="H69" i="20" s="1"/>
  <c r="H70" i="20" s="1"/>
  <c r="H71" i="20" s="1"/>
  <c r="H72" i="20" s="1"/>
  <c r="H73" i="20" s="1"/>
  <c r="H74" i="20" s="1"/>
  <c r="H75" i="20" s="1"/>
  <c r="H76" i="20" s="1"/>
  <c r="H77" i="20" s="1"/>
  <c r="H78" i="20" s="1"/>
  <c r="H79" i="20" s="1"/>
  <c r="H80" i="20" s="1"/>
  <c r="H81" i="20" s="1"/>
  <c r="H82" i="20" s="1"/>
  <c r="H83" i="20" s="1"/>
  <c r="H84" i="20" s="1"/>
  <c r="H85" i="20" s="1"/>
  <c r="H86" i="20" s="1"/>
  <c r="H87" i="20" s="1"/>
  <c r="H88" i="20" s="1"/>
  <c r="H89" i="20" s="1"/>
  <c r="H90" i="20" s="1"/>
  <c r="H91" i="20" s="1"/>
  <c r="H92" i="20" s="1"/>
  <c r="H93" i="20" s="1"/>
  <c r="H94" i="20" s="1"/>
  <c r="H95" i="20" s="1"/>
  <c r="H96" i="20" s="1"/>
  <c r="H97" i="20" s="1"/>
  <c r="H98" i="20" s="1"/>
  <c r="H99" i="20" s="1"/>
  <c r="H100" i="20" s="1"/>
  <c r="H101" i="20" s="1"/>
  <c r="H102" i="20" s="1"/>
  <c r="H103" i="20" s="1"/>
  <c r="H104" i="20" s="1"/>
  <c r="H105" i="20" s="1"/>
  <c r="H106" i="20" s="1"/>
  <c r="H107" i="20" s="1"/>
  <c r="H108" i="20" s="1"/>
  <c r="H109" i="20" s="1"/>
  <c r="H110" i="20" s="1"/>
  <c r="H111" i="20" s="1"/>
  <c r="H112" i="20" s="1"/>
  <c r="H113" i="20" s="1"/>
  <c r="H114" i="20" s="1"/>
  <c r="H115" i="20" s="1"/>
  <c r="H116" i="20" s="1"/>
  <c r="H117" i="20" s="1"/>
  <c r="H118" i="20" s="1"/>
  <c r="H119" i="20" s="1"/>
  <c r="H120" i="20" s="1"/>
  <c r="H121" i="20" s="1"/>
  <c r="H122" i="20" s="1"/>
  <c r="H123" i="20" s="1"/>
  <c r="H124" i="20" s="1"/>
  <c r="H125" i="20" s="1"/>
  <c r="H126" i="20" s="1"/>
  <c r="H127" i="20" s="1"/>
  <c r="H128" i="20" s="1"/>
  <c r="H129" i="20" s="1"/>
  <c r="H130" i="20" s="1"/>
  <c r="H131" i="20" s="1"/>
  <c r="H132" i="20" s="1"/>
  <c r="H133" i="20" s="1"/>
  <c r="H134" i="20" s="1"/>
  <c r="H135" i="20" s="1"/>
  <c r="H136" i="20" s="1"/>
  <c r="H137" i="20" s="1"/>
  <c r="H138" i="20" s="1"/>
  <c r="H139" i="20" s="1"/>
  <c r="H140" i="20" s="1"/>
  <c r="H141" i="20" s="1"/>
  <c r="H142" i="20" s="1"/>
  <c r="H143" i="20" s="1"/>
  <c r="H144" i="20" s="1"/>
  <c r="H145" i="20" s="1"/>
  <c r="H146" i="20" s="1"/>
  <c r="H147" i="20" s="1"/>
  <c r="H148" i="20" s="1"/>
  <c r="H149" i="20" s="1"/>
  <c r="H150" i="20" s="1"/>
  <c r="H151" i="20" s="1"/>
  <c r="H152" i="20" s="1"/>
  <c r="H153" i="20" s="1"/>
  <c r="H154" i="20" s="1"/>
  <c r="H155" i="20" s="1"/>
  <c r="H156" i="20" s="1"/>
  <c r="H157" i="20" s="1"/>
  <c r="H158" i="20" s="1"/>
  <c r="H159" i="20" s="1"/>
  <c r="H160" i="20" s="1"/>
  <c r="H161" i="20" s="1"/>
  <c r="H162" i="20" s="1"/>
  <c r="H163" i="20" s="1"/>
  <c r="H164" i="20" s="1"/>
  <c r="H165" i="20" s="1"/>
  <c r="H166" i="20" s="1"/>
  <c r="H167" i="20" s="1"/>
  <c r="H168" i="20" s="1"/>
  <c r="H169" i="20" s="1"/>
  <c r="H170" i="20" s="1"/>
  <c r="H171" i="20" s="1"/>
  <c r="H172" i="20" s="1"/>
  <c r="H173" i="20" s="1"/>
  <c r="H174" i="20" s="1"/>
  <c r="H175" i="20" s="1"/>
  <c r="H176" i="20" s="1"/>
  <c r="H177" i="20" s="1"/>
  <c r="H178" i="20" s="1"/>
  <c r="H179" i="20" s="1"/>
  <c r="H180" i="20" s="1"/>
  <c r="H181" i="20" s="1"/>
  <c r="H182" i="20" s="1"/>
  <c r="H183" i="20" s="1"/>
  <c r="H184" i="20" s="1"/>
  <c r="H185" i="20" s="1"/>
  <c r="H186" i="20" s="1"/>
  <c r="H187" i="20" s="1"/>
  <c r="H188" i="20" s="1"/>
  <c r="H189" i="20" s="1"/>
  <c r="H190" i="20" s="1"/>
  <c r="H191" i="20" s="1"/>
  <c r="H192" i="20" s="1"/>
  <c r="H193" i="20" s="1"/>
  <c r="H194" i="20" s="1"/>
  <c r="H195" i="20" s="1"/>
  <c r="H196" i="20" s="1"/>
  <c r="H197" i="20" s="1"/>
  <c r="H198" i="20" s="1"/>
  <c r="H199" i="20" s="1"/>
  <c r="H200" i="20" s="1"/>
  <c r="H201" i="20" s="1"/>
  <c r="H202" i="20" s="1"/>
  <c r="H203" i="20" s="1"/>
  <c r="H204" i="20" s="1"/>
  <c r="H205" i="20" s="1"/>
  <c r="H206" i="20" s="1"/>
  <c r="H2" i="22" s="1"/>
  <c r="E6" i="22" s="1"/>
  <c r="H6" i="22" l="1"/>
  <c r="H7" i="22" s="1"/>
  <c r="H8" i="22" s="1"/>
  <c r="H9" i="22" s="1"/>
  <c r="H10" i="22" s="1"/>
  <c r="H11" i="22" s="1"/>
  <c r="H12" i="22" s="1"/>
  <c r="H13" i="22" s="1"/>
  <c r="H14" i="22" s="1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H30" i="22" s="1"/>
  <c r="H31" i="22" s="1"/>
  <c r="H32" i="22" s="1"/>
  <c r="H33" i="22" s="1"/>
  <c r="H34" i="22" s="1"/>
  <c r="H35" i="22" s="1"/>
  <c r="H36" i="22" s="1"/>
  <c r="H37" i="22" s="1"/>
  <c r="H38" i="22" s="1"/>
  <c r="H39" i="22" s="1"/>
  <c r="H40" i="22" s="1"/>
  <c r="H41" i="22" s="1"/>
  <c r="H42" i="22" s="1"/>
  <c r="H43" i="22" s="1"/>
  <c r="H44" i="22" s="1"/>
  <c r="H45" i="22" s="1"/>
  <c r="H46" i="22" s="1"/>
  <c r="H47" i="22" s="1"/>
  <c r="H48" i="22" s="1"/>
  <c r="H49" i="22" s="1"/>
  <c r="H50" i="22" s="1"/>
  <c r="H51" i="22" s="1"/>
  <c r="H52" i="22" s="1"/>
  <c r="H53" i="22" s="1"/>
  <c r="H54" i="22" s="1"/>
  <c r="H55" i="22" s="1"/>
  <c r="H56" i="22" s="1"/>
  <c r="H57" i="22" s="1"/>
  <c r="H58" i="22" s="1"/>
  <c r="H59" i="22" s="1"/>
  <c r="H60" i="22" s="1"/>
  <c r="H61" i="22" s="1"/>
  <c r="H62" i="22" s="1"/>
  <c r="H63" i="22" s="1"/>
  <c r="H64" i="22" s="1"/>
  <c r="H65" i="22" s="1"/>
  <c r="H66" i="22" s="1"/>
  <c r="H67" i="22" s="1"/>
  <c r="H68" i="22" s="1"/>
  <c r="H69" i="22" s="1"/>
  <c r="H70" i="22" s="1"/>
  <c r="H71" i="22" s="1"/>
  <c r="H72" i="22" s="1"/>
  <c r="H73" i="22" s="1"/>
  <c r="H74" i="22" s="1"/>
  <c r="H75" i="22" s="1"/>
  <c r="H76" i="22" s="1"/>
  <c r="H77" i="22" s="1"/>
  <c r="H78" i="22" s="1"/>
  <c r="H79" i="22" s="1"/>
  <c r="H80" i="22" s="1"/>
  <c r="H81" i="22" s="1"/>
  <c r="H82" i="22" s="1"/>
  <c r="H83" i="22" s="1"/>
  <c r="H84" i="22" s="1"/>
  <c r="H85" i="22" s="1"/>
  <c r="H86" i="22" s="1"/>
  <c r="H87" i="22" s="1"/>
  <c r="H88" i="22" s="1"/>
  <c r="H89" i="22" s="1"/>
  <c r="H90" i="22" s="1"/>
  <c r="H91" i="22" s="1"/>
  <c r="H92" i="22" s="1"/>
  <c r="H93" i="22" s="1"/>
  <c r="H94" i="22" s="1"/>
  <c r="H95" i="22" s="1"/>
  <c r="H96" i="22" s="1"/>
  <c r="H97" i="22" s="1"/>
  <c r="H98" i="22" s="1"/>
  <c r="H99" i="22" s="1"/>
  <c r="H100" i="22" s="1"/>
  <c r="H101" i="22" s="1"/>
  <c r="H102" i="22" s="1"/>
  <c r="H103" i="22" s="1"/>
  <c r="H104" i="22" s="1"/>
  <c r="H105" i="22" s="1"/>
  <c r="H106" i="22" s="1"/>
  <c r="H107" i="22" s="1"/>
  <c r="H108" i="22" s="1"/>
  <c r="H109" i="22" s="1"/>
  <c r="H110" i="22" s="1"/>
  <c r="H111" i="22" s="1"/>
  <c r="H112" i="22" s="1"/>
  <c r="H113" i="22" s="1"/>
  <c r="H114" i="22" s="1"/>
  <c r="H115" i="22" s="1"/>
  <c r="H116" i="22" s="1"/>
  <c r="H117" i="22" s="1"/>
  <c r="H118" i="22" s="1"/>
  <c r="H119" i="22" s="1"/>
  <c r="H120" i="22" s="1"/>
  <c r="H121" i="22" s="1"/>
  <c r="H122" i="22" s="1"/>
  <c r="H123" i="22" s="1"/>
  <c r="H124" i="22" s="1"/>
  <c r="H125" i="22" s="1"/>
  <c r="H126" i="22" s="1"/>
  <c r="H127" i="22" s="1"/>
  <c r="H128" i="22" s="1"/>
  <c r="H129" i="22" s="1"/>
  <c r="H130" i="22" s="1"/>
  <c r="H131" i="22" s="1"/>
  <c r="H132" i="22" s="1"/>
  <c r="H133" i="22" s="1"/>
  <c r="H134" i="22" s="1"/>
  <c r="H135" i="22" s="1"/>
  <c r="H136" i="22" s="1"/>
  <c r="H137" i="22" s="1"/>
  <c r="H138" i="22" s="1"/>
  <c r="H139" i="22" s="1"/>
  <c r="H140" i="22" s="1"/>
  <c r="H141" i="22" s="1"/>
  <c r="H142" i="22" s="1"/>
  <c r="H143" i="22" s="1"/>
  <c r="H144" i="22" s="1"/>
  <c r="H145" i="22" s="1"/>
  <c r="H146" i="22" s="1"/>
  <c r="H147" i="22" s="1"/>
  <c r="H148" i="22" s="1"/>
  <c r="H149" i="22" s="1"/>
  <c r="H150" i="22" s="1"/>
  <c r="H151" i="22" s="1"/>
  <c r="H152" i="22" s="1"/>
  <c r="H153" i="22" s="1"/>
  <c r="H154" i="22" s="1"/>
  <c r="H155" i="22" s="1"/>
  <c r="H156" i="22" s="1"/>
  <c r="H157" i="22" s="1"/>
  <c r="H158" i="22" s="1"/>
  <c r="H159" i="22" s="1"/>
  <c r="H160" i="22" s="1"/>
  <c r="H161" i="22" s="1"/>
  <c r="H162" i="22" s="1"/>
  <c r="H163" i="22" s="1"/>
  <c r="H164" i="22" s="1"/>
  <c r="H165" i="22" s="1"/>
  <c r="H166" i="22" s="1"/>
  <c r="H167" i="22" s="1"/>
  <c r="H168" i="22" s="1"/>
  <c r="H169" i="22" s="1"/>
  <c r="H170" i="22" s="1"/>
  <c r="H171" i="22" s="1"/>
  <c r="H172" i="22" s="1"/>
  <c r="H173" i="22" s="1"/>
  <c r="H174" i="22" s="1"/>
  <c r="H175" i="22" s="1"/>
  <c r="H176" i="22" s="1"/>
  <c r="H177" i="22" s="1"/>
  <c r="H178" i="22" s="1"/>
  <c r="H179" i="22" s="1"/>
  <c r="H180" i="22" s="1"/>
  <c r="H181" i="22" s="1"/>
  <c r="H182" i="22" s="1"/>
  <c r="H183" i="22" s="1"/>
  <c r="H184" i="22" s="1"/>
  <c r="H185" i="22" s="1"/>
  <c r="H186" i="22" s="1"/>
  <c r="H187" i="22" s="1"/>
  <c r="H188" i="22" s="1"/>
  <c r="H189" i="22" s="1"/>
  <c r="H190" i="22" s="1"/>
  <c r="H191" i="22" s="1"/>
  <c r="H192" i="22" s="1"/>
  <c r="H193" i="22" s="1"/>
  <c r="H194" i="22" s="1"/>
  <c r="H195" i="22" s="1"/>
  <c r="H196" i="22" s="1"/>
  <c r="H197" i="22" s="1"/>
  <c r="H198" i="22" s="1"/>
  <c r="H199" i="22" s="1"/>
  <c r="H200" i="22" s="1"/>
  <c r="H201" i="22" s="1"/>
  <c r="H202" i="22" s="1"/>
  <c r="H203" i="22" s="1"/>
  <c r="H204" i="22" s="1"/>
  <c r="H205" i="22" s="1"/>
  <c r="H206" i="22" s="1"/>
  <c r="H2" i="23" s="1"/>
  <c r="E6" i="23" s="1"/>
  <c r="G6" i="22"/>
  <c r="G6" i="23" l="1"/>
  <c r="H6" i="23"/>
  <c r="H7" i="23" s="1"/>
  <c r="H8" i="23" s="1"/>
  <c r="H9" i="23" s="1"/>
  <c r="H10" i="23" s="1"/>
  <c r="H11" i="23" s="1"/>
  <c r="H12" i="23" s="1"/>
  <c r="H13" i="23" s="1"/>
  <c r="H14" i="23" s="1"/>
  <c r="H15" i="23" s="1"/>
  <c r="H16" i="23" s="1"/>
  <c r="H17" i="23" s="1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H29" i="23" s="1"/>
  <c r="H30" i="23" s="1"/>
  <c r="H31" i="23" s="1"/>
  <c r="H32" i="23" s="1"/>
  <c r="H33" i="23" s="1"/>
  <c r="H34" i="23" s="1"/>
  <c r="H35" i="23" s="1"/>
  <c r="H36" i="23" s="1"/>
  <c r="H37" i="23" s="1"/>
  <c r="H38" i="23" s="1"/>
  <c r="H39" i="23" s="1"/>
  <c r="H40" i="23" s="1"/>
  <c r="H41" i="23" s="1"/>
  <c r="H42" i="23" s="1"/>
  <c r="H43" i="23" s="1"/>
  <c r="H44" i="23" s="1"/>
  <c r="H45" i="23" s="1"/>
  <c r="H46" i="23" s="1"/>
  <c r="H47" i="23" s="1"/>
  <c r="H48" i="23" s="1"/>
  <c r="H49" i="23" s="1"/>
  <c r="H50" i="23" s="1"/>
  <c r="H51" i="23" s="1"/>
  <c r="H52" i="23" s="1"/>
  <c r="H53" i="23" s="1"/>
  <c r="H54" i="23" s="1"/>
  <c r="H55" i="23" s="1"/>
  <c r="H56" i="23" s="1"/>
  <c r="H57" i="23" s="1"/>
  <c r="H58" i="23" s="1"/>
  <c r="H59" i="23" s="1"/>
  <c r="H60" i="23" s="1"/>
  <c r="H61" i="23" s="1"/>
  <c r="H62" i="23" s="1"/>
  <c r="H63" i="23" s="1"/>
  <c r="H64" i="23" s="1"/>
  <c r="H65" i="23" s="1"/>
  <c r="H66" i="23" s="1"/>
  <c r="H67" i="23" s="1"/>
  <c r="H68" i="23" s="1"/>
  <c r="H69" i="23" s="1"/>
  <c r="H70" i="23" s="1"/>
  <c r="H71" i="23" s="1"/>
  <c r="H72" i="23" s="1"/>
  <c r="H73" i="23" s="1"/>
  <c r="H74" i="23" s="1"/>
  <c r="H75" i="23" s="1"/>
  <c r="H76" i="23" s="1"/>
  <c r="H77" i="23" s="1"/>
  <c r="H78" i="23" s="1"/>
  <c r="H79" i="23" s="1"/>
  <c r="H80" i="23" s="1"/>
  <c r="H81" i="23" s="1"/>
  <c r="H82" i="23" s="1"/>
  <c r="H83" i="23" s="1"/>
  <c r="H84" i="23" s="1"/>
  <c r="H85" i="23" s="1"/>
  <c r="H86" i="23" s="1"/>
  <c r="H87" i="23" s="1"/>
  <c r="H88" i="23" s="1"/>
  <c r="H89" i="23" s="1"/>
  <c r="H90" i="23" s="1"/>
  <c r="H91" i="23" s="1"/>
  <c r="H92" i="23" s="1"/>
  <c r="H93" i="23" s="1"/>
  <c r="H94" i="23" s="1"/>
  <c r="H95" i="23" s="1"/>
  <c r="H96" i="23" s="1"/>
  <c r="H97" i="23" s="1"/>
  <c r="H98" i="23" s="1"/>
  <c r="H99" i="23" s="1"/>
  <c r="H100" i="23" s="1"/>
  <c r="H101" i="23" s="1"/>
  <c r="H102" i="23" s="1"/>
  <c r="H103" i="23" s="1"/>
  <c r="H104" i="23" s="1"/>
  <c r="H105" i="23" s="1"/>
  <c r="H106" i="23" s="1"/>
  <c r="H107" i="23" s="1"/>
  <c r="H108" i="23" s="1"/>
  <c r="H109" i="23" s="1"/>
  <c r="H110" i="23" s="1"/>
  <c r="H111" i="23" s="1"/>
  <c r="H112" i="23" s="1"/>
  <c r="H113" i="23" s="1"/>
  <c r="H114" i="23" s="1"/>
  <c r="H115" i="23" s="1"/>
  <c r="H116" i="23" s="1"/>
  <c r="H117" i="23" s="1"/>
  <c r="H118" i="23" s="1"/>
  <c r="H119" i="23" s="1"/>
  <c r="H120" i="23" s="1"/>
  <c r="H121" i="23" s="1"/>
  <c r="H122" i="23" s="1"/>
  <c r="H123" i="23" s="1"/>
  <c r="H124" i="23" s="1"/>
  <c r="H125" i="23" s="1"/>
  <c r="H126" i="23" s="1"/>
  <c r="H127" i="23" s="1"/>
  <c r="H128" i="23" s="1"/>
  <c r="H129" i="23" s="1"/>
  <c r="H130" i="23" s="1"/>
  <c r="H131" i="23" s="1"/>
  <c r="H132" i="23" s="1"/>
  <c r="H133" i="23" s="1"/>
  <c r="H134" i="23" s="1"/>
  <c r="H135" i="23" s="1"/>
  <c r="H136" i="23" s="1"/>
  <c r="H137" i="23" s="1"/>
  <c r="H138" i="23" s="1"/>
  <c r="H139" i="23" s="1"/>
  <c r="H140" i="23" s="1"/>
  <c r="H141" i="23" s="1"/>
  <c r="H142" i="23" s="1"/>
  <c r="H143" i="23" s="1"/>
  <c r="H144" i="23" s="1"/>
  <c r="H145" i="23" s="1"/>
  <c r="H146" i="23" s="1"/>
  <c r="H147" i="23" s="1"/>
  <c r="H148" i="23" s="1"/>
  <c r="H149" i="23" s="1"/>
  <c r="H150" i="23" s="1"/>
  <c r="H151" i="23" s="1"/>
  <c r="H152" i="23" s="1"/>
  <c r="H153" i="23" s="1"/>
  <c r="H154" i="23" s="1"/>
  <c r="H155" i="23" s="1"/>
  <c r="H156" i="23" s="1"/>
  <c r="H157" i="23" s="1"/>
  <c r="H158" i="23" s="1"/>
  <c r="H159" i="23" s="1"/>
  <c r="H160" i="23" s="1"/>
  <c r="H161" i="23" s="1"/>
  <c r="H162" i="23" s="1"/>
  <c r="H163" i="23" s="1"/>
  <c r="H164" i="23" s="1"/>
  <c r="H165" i="23" s="1"/>
  <c r="H166" i="23" s="1"/>
  <c r="H167" i="23" s="1"/>
  <c r="H168" i="23" s="1"/>
  <c r="H169" i="23" s="1"/>
  <c r="H170" i="23" s="1"/>
  <c r="H171" i="23" s="1"/>
  <c r="H172" i="23" s="1"/>
  <c r="H173" i="23" s="1"/>
  <c r="H174" i="23" s="1"/>
  <c r="H175" i="23" s="1"/>
  <c r="H176" i="23" s="1"/>
  <c r="H177" i="23" s="1"/>
  <c r="H178" i="23" s="1"/>
  <c r="H179" i="23" s="1"/>
  <c r="H180" i="23" s="1"/>
  <c r="H181" i="23" s="1"/>
  <c r="H182" i="23" s="1"/>
  <c r="H183" i="23" s="1"/>
  <c r="H184" i="23" s="1"/>
  <c r="H185" i="23" s="1"/>
  <c r="H186" i="23" s="1"/>
  <c r="H187" i="23" s="1"/>
  <c r="H188" i="23" s="1"/>
  <c r="H189" i="23" s="1"/>
  <c r="H190" i="23" s="1"/>
  <c r="H191" i="23" s="1"/>
  <c r="H192" i="23" s="1"/>
  <c r="H193" i="23" s="1"/>
  <c r="H194" i="23" s="1"/>
  <c r="H195" i="23" s="1"/>
  <c r="H196" i="23" s="1"/>
  <c r="H197" i="23" s="1"/>
  <c r="H198" i="23" s="1"/>
  <c r="H199" i="23" s="1"/>
  <c r="H200" i="23" s="1"/>
  <c r="H201" i="23" s="1"/>
  <c r="H202" i="23" s="1"/>
  <c r="H203" i="23" s="1"/>
  <c r="H204" i="23" s="1"/>
  <c r="H205" i="23" s="1"/>
  <c r="H206" i="23" s="1"/>
  <c r="H2" i="24" s="1"/>
  <c r="E6" i="24" s="1"/>
  <c r="G6" i="24" l="1"/>
  <c r="H6" i="24"/>
  <c r="H7" i="24" s="1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H31" i="24" s="1"/>
  <c r="H32" i="24" s="1"/>
  <c r="H33" i="24" s="1"/>
  <c r="H34" i="24" s="1"/>
  <c r="H35" i="24" s="1"/>
  <c r="H36" i="24" s="1"/>
  <c r="H37" i="24" s="1"/>
  <c r="H38" i="24" s="1"/>
  <c r="H39" i="24" s="1"/>
  <c r="H40" i="24" s="1"/>
  <c r="H41" i="24" s="1"/>
  <c r="H42" i="24" s="1"/>
  <c r="H43" i="24" s="1"/>
  <c r="H44" i="24" s="1"/>
  <c r="H45" i="24" s="1"/>
  <c r="H46" i="24" s="1"/>
  <c r="H47" i="24" s="1"/>
  <c r="H48" i="24" s="1"/>
  <c r="H49" i="24" s="1"/>
  <c r="H50" i="24" s="1"/>
  <c r="H51" i="24" s="1"/>
  <c r="H52" i="24" s="1"/>
  <c r="H53" i="24" s="1"/>
  <c r="H54" i="24" s="1"/>
  <c r="H55" i="24" s="1"/>
  <c r="H56" i="24" s="1"/>
  <c r="H57" i="24" s="1"/>
  <c r="H58" i="24" s="1"/>
  <c r="H59" i="24" s="1"/>
  <c r="H60" i="24" s="1"/>
  <c r="H61" i="24" s="1"/>
  <c r="H62" i="24" s="1"/>
  <c r="H63" i="24" s="1"/>
  <c r="H64" i="24" s="1"/>
  <c r="H65" i="24" s="1"/>
  <c r="H66" i="24" s="1"/>
  <c r="H67" i="24" s="1"/>
  <c r="H68" i="24" s="1"/>
  <c r="H69" i="24" s="1"/>
  <c r="H70" i="24" s="1"/>
  <c r="H71" i="24" s="1"/>
  <c r="H72" i="24" s="1"/>
  <c r="H73" i="24" s="1"/>
  <c r="H74" i="24" s="1"/>
  <c r="H75" i="24" s="1"/>
  <c r="H76" i="24" s="1"/>
  <c r="H77" i="24" s="1"/>
  <c r="H78" i="24" s="1"/>
  <c r="H79" i="24" s="1"/>
  <c r="H80" i="24" s="1"/>
  <c r="H81" i="24" s="1"/>
  <c r="H82" i="24" s="1"/>
  <c r="H83" i="24" s="1"/>
  <c r="H84" i="24" s="1"/>
  <c r="H85" i="24" s="1"/>
  <c r="H86" i="24" s="1"/>
  <c r="H87" i="24" s="1"/>
  <c r="H88" i="24" s="1"/>
  <c r="H89" i="24" s="1"/>
  <c r="H90" i="24" s="1"/>
  <c r="H91" i="24" s="1"/>
  <c r="H92" i="24" s="1"/>
  <c r="H93" i="24" s="1"/>
  <c r="H94" i="24" s="1"/>
  <c r="H95" i="24" s="1"/>
  <c r="H96" i="24" s="1"/>
  <c r="H97" i="24" s="1"/>
  <c r="H98" i="24" s="1"/>
  <c r="H99" i="24" s="1"/>
  <c r="H100" i="24" s="1"/>
  <c r="H101" i="24" s="1"/>
  <c r="H102" i="24" s="1"/>
  <c r="H103" i="24" s="1"/>
  <c r="H104" i="24" s="1"/>
  <c r="H105" i="24" s="1"/>
  <c r="H106" i="24" s="1"/>
  <c r="H107" i="24" s="1"/>
  <c r="H108" i="24" s="1"/>
  <c r="H109" i="24" s="1"/>
  <c r="H110" i="24" s="1"/>
  <c r="H111" i="24" s="1"/>
  <c r="H112" i="24" s="1"/>
  <c r="H113" i="24" s="1"/>
  <c r="H114" i="24" s="1"/>
  <c r="H115" i="24" s="1"/>
  <c r="H116" i="24" s="1"/>
  <c r="H117" i="24" s="1"/>
  <c r="H118" i="24" s="1"/>
  <c r="H119" i="24" s="1"/>
  <c r="H120" i="24" s="1"/>
  <c r="H121" i="24" s="1"/>
  <c r="H122" i="24" s="1"/>
  <c r="H123" i="24" s="1"/>
  <c r="H124" i="24" s="1"/>
  <c r="H125" i="24" s="1"/>
  <c r="H126" i="24" s="1"/>
  <c r="H127" i="24" s="1"/>
  <c r="H128" i="24" s="1"/>
  <c r="H129" i="24" s="1"/>
  <c r="H130" i="24" s="1"/>
  <c r="H131" i="24" s="1"/>
  <c r="H132" i="24" s="1"/>
  <c r="H133" i="24" s="1"/>
  <c r="H134" i="24" s="1"/>
  <c r="H135" i="24" s="1"/>
  <c r="H136" i="24" s="1"/>
  <c r="H137" i="24" s="1"/>
  <c r="H138" i="24" s="1"/>
  <c r="H139" i="24" s="1"/>
  <c r="H140" i="24" s="1"/>
  <c r="H141" i="24" s="1"/>
  <c r="H142" i="24" s="1"/>
  <c r="H143" i="24" s="1"/>
  <c r="H144" i="24" s="1"/>
  <c r="H145" i="24" s="1"/>
  <c r="H146" i="24" s="1"/>
  <c r="H147" i="24" s="1"/>
  <c r="H148" i="24" s="1"/>
  <c r="H149" i="24" s="1"/>
  <c r="H150" i="24" s="1"/>
  <c r="H151" i="24" s="1"/>
  <c r="H152" i="24" s="1"/>
  <c r="H153" i="24" s="1"/>
  <c r="H154" i="24" s="1"/>
  <c r="H155" i="24" s="1"/>
  <c r="H156" i="24" s="1"/>
  <c r="H157" i="24" s="1"/>
  <c r="H158" i="24" s="1"/>
  <c r="H159" i="24" s="1"/>
  <c r="H160" i="24" s="1"/>
  <c r="H161" i="24" s="1"/>
  <c r="H162" i="24" s="1"/>
  <c r="H163" i="24" s="1"/>
  <c r="H164" i="24" s="1"/>
  <c r="H165" i="24" s="1"/>
  <c r="H166" i="24" s="1"/>
  <c r="H167" i="24" s="1"/>
  <c r="H168" i="24" s="1"/>
  <c r="H169" i="24" s="1"/>
  <c r="H170" i="24" s="1"/>
  <c r="H171" i="24" s="1"/>
  <c r="H172" i="24" s="1"/>
  <c r="H173" i="24" s="1"/>
  <c r="H174" i="24" s="1"/>
  <c r="H175" i="24" s="1"/>
  <c r="H176" i="24" s="1"/>
  <c r="H177" i="24" s="1"/>
  <c r="H178" i="24" s="1"/>
  <c r="H179" i="24" s="1"/>
  <c r="H180" i="24" s="1"/>
  <c r="H181" i="24" s="1"/>
  <c r="H182" i="24" s="1"/>
  <c r="H183" i="24" s="1"/>
  <c r="H184" i="24" s="1"/>
  <c r="H185" i="24" s="1"/>
  <c r="H186" i="24" s="1"/>
  <c r="H187" i="24" s="1"/>
  <c r="H188" i="24" s="1"/>
  <c r="H189" i="24" s="1"/>
  <c r="H190" i="24" s="1"/>
  <c r="H191" i="24" s="1"/>
  <c r="H192" i="24" s="1"/>
  <c r="H193" i="24" s="1"/>
  <c r="H194" i="24" s="1"/>
  <c r="H195" i="24" s="1"/>
  <c r="H196" i="24" s="1"/>
  <c r="H197" i="24" s="1"/>
  <c r="H198" i="24" s="1"/>
  <c r="H199" i="24" s="1"/>
  <c r="H200" i="24" s="1"/>
  <c r="H201" i="24" s="1"/>
  <c r="H202" i="24" s="1"/>
  <c r="H203" i="24" s="1"/>
  <c r="H204" i="24" s="1"/>
  <c r="H205" i="24" s="1"/>
  <c r="H206" i="24" s="1"/>
  <c r="H2" i="25" s="1"/>
  <c r="E6" i="25" s="1"/>
  <c r="G6" i="25" l="1"/>
  <c r="H6" i="25"/>
  <c r="H7" i="25" s="1"/>
  <c r="H8" i="25" s="1"/>
  <c r="H9" i="25" s="1"/>
  <c r="H10" i="25" s="1"/>
  <c r="H11" i="25" s="1"/>
  <c r="H12" i="25" s="1"/>
  <c r="H13" i="25" s="1"/>
  <c r="H14" i="25" s="1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27" i="25" s="1"/>
  <c r="H28" i="25" s="1"/>
  <c r="H29" i="25" s="1"/>
  <c r="H30" i="25" s="1"/>
  <c r="H31" i="25" s="1"/>
  <c r="H32" i="25" s="1"/>
  <c r="H33" i="25" s="1"/>
  <c r="H34" i="25" s="1"/>
  <c r="H35" i="25" s="1"/>
  <c r="H36" i="25" s="1"/>
  <c r="H37" i="25" s="1"/>
  <c r="H38" i="25" s="1"/>
  <c r="H39" i="25" s="1"/>
  <c r="H40" i="25" s="1"/>
  <c r="H41" i="25" s="1"/>
  <c r="H42" i="25" s="1"/>
  <c r="H43" i="25" s="1"/>
  <c r="H44" i="25" s="1"/>
  <c r="H45" i="25" s="1"/>
  <c r="H46" i="25" s="1"/>
  <c r="H47" i="25" s="1"/>
  <c r="H48" i="25" s="1"/>
  <c r="H49" i="25" s="1"/>
  <c r="H50" i="25" s="1"/>
  <c r="H51" i="25" s="1"/>
  <c r="H52" i="25" s="1"/>
  <c r="H53" i="25" s="1"/>
  <c r="H54" i="25" s="1"/>
  <c r="H55" i="25" s="1"/>
  <c r="H56" i="25" s="1"/>
  <c r="H57" i="25" s="1"/>
  <c r="H58" i="25" s="1"/>
  <c r="H59" i="25" s="1"/>
  <c r="H60" i="25" s="1"/>
  <c r="H61" i="25" s="1"/>
  <c r="H62" i="25" s="1"/>
  <c r="H63" i="25" s="1"/>
  <c r="H64" i="25" s="1"/>
  <c r="H65" i="25" s="1"/>
  <c r="H66" i="25" s="1"/>
  <c r="H67" i="25" s="1"/>
  <c r="H68" i="25" s="1"/>
  <c r="H69" i="25" s="1"/>
  <c r="H70" i="25" s="1"/>
  <c r="H71" i="25" s="1"/>
  <c r="H72" i="25" s="1"/>
  <c r="H73" i="25" s="1"/>
  <c r="H74" i="25" s="1"/>
  <c r="H75" i="25" s="1"/>
  <c r="H76" i="25" s="1"/>
  <c r="H77" i="25" s="1"/>
  <c r="H78" i="25" s="1"/>
  <c r="H79" i="25" s="1"/>
  <c r="H80" i="25" s="1"/>
  <c r="H81" i="25" s="1"/>
  <c r="H82" i="25" s="1"/>
  <c r="H83" i="25" s="1"/>
  <c r="H84" i="25" s="1"/>
  <c r="H85" i="25" s="1"/>
  <c r="H86" i="25" s="1"/>
  <c r="H87" i="25" s="1"/>
  <c r="H88" i="25" s="1"/>
  <c r="H89" i="25" s="1"/>
  <c r="H90" i="25" s="1"/>
  <c r="H91" i="25" s="1"/>
  <c r="H92" i="25" s="1"/>
  <c r="H93" i="25" s="1"/>
  <c r="H94" i="25" s="1"/>
  <c r="H95" i="25" s="1"/>
  <c r="H96" i="25" s="1"/>
  <c r="H97" i="25" s="1"/>
  <c r="H98" i="25" s="1"/>
  <c r="H99" i="25" s="1"/>
  <c r="H100" i="25" s="1"/>
  <c r="H101" i="25" s="1"/>
  <c r="H102" i="25" s="1"/>
  <c r="H103" i="25" s="1"/>
  <c r="H104" i="25" s="1"/>
  <c r="H105" i="25" s="1"/>
  <c r="H106" i="25" s="1"/>
  <c r="H107" i="25" s="1"/>
  <c r="H108" i="25" s="1"/>
  <c r="H109" i="25" s="1"/>
  <c r="H110" i="25" s="1"/>
  <c r="H111" i="25" s="1"/>
  <c r="H112" i="25" s="1"/>
  <c r="H113" i="25" s="1"/>
  <c r="H114" i="25" s="1"/>
  <c r="H115" i="25" s="1"/>
  <c r="H116" i="25" s="1"/>
  <c r="H117" i="25" s="1"/>
  <c r="H118" i="25" s="1"/>
  <c r="H119" i="25" s="1"/>
  <c r="H120" i="25" s="1"/>
  <c r="H121" i="25" s="1"/>
  <c r="H122" i="25" s="1"/>
  <c r="H123" i="25" s="1"/>
  <c r="H124" i="25" s="1"/>
  <c r="H125" i="25" s="1"/>
  <c r="H126" i="25" s="1"/>
  <c r="H127" i="25" s="1"/>
  <c r="H128" i="25" s="1"/>
  <c r="H129" i="25" s="1"/>
  <c r="H130" i="25" s="1"/>
  <c r="H131" i="25" s="1"/>
  <c r="H132" i="25" s="1"/>
  <c r="H133" i="25" s="1"/>
  <c r="H134" i="25" s="1"/>
  <c r="H135" i="25" s="1"/>
  <c r="H136" i="25" s="1"/>
  <c r="H137" i="25" s="1"/>
  <c r="H138" i="25" s="1"/>
  <c r="H139" i="25" s="1"/>
  <c r="H140" i="25" s="1"/>
  <c r="H141" i="25" s="1"/>
  <c r="H142" i="25" s="1"/>
  <c r="H143" i="25" s="1"/>
  <c r="H144" i="25" s="1"/>
  <c r="H145" i="25" s="1"/>
  <c r="H146" i="25" s="1"/>
  <c r="H147" i="25" s="1"/>
  <c r="H148" i="25" s="1"/>
  <c r="H149" i="25" s="1"/>
  <c r="H150" i="25" s="1"/>
  <c r="H151" i="25" s="1"/>
  <c r="H152" i="25" s="1"/>
  <c r="H153" i="25" s="1"/>
  <c r="H154" i="25" s="1"/>
  <c r="H155" i="25" s="1"/>
  <c r="H156" i="25" s="1"/>
  <c r="H157" i="25" s="1"/>
  <c r="H158" i="25" s="1"/>
  <c r="H159" i="25" s="1"/>
  <c r="H160" i="25" s="1"/>
  <c r="H161" i="25" s="1"/>
  <c r="H162" i="25" s="1"/>
  <c r="H163" i="25" s="1"/>
  <c r="H164" i="25" s="1"/>
  <c r="H165" i="25" s="1"/>
  <c r="H166" i="25" s="1"/>
  <c r="H167" i="25" s="1"/>
  <c r="H168" i="25" s="1"/>
  <c r="H169" i="25" s="1"/>
  <c r="H170" i="25" s="1"/>
  <c r="H171" i="25" s="1"/>
  <c r="H172" i="25" s="1"/>
  <c r="H173" i="25" s="1"/>
  <c r="H174" i="25" s="1"/>
  <c r="H175" i="25" s="1"/>
  <c r="H176" i="25" s="1"/>
  <c r="H177" i="25" s="1"/>
  <c r="H178" i="25" s="1"/>
  <c r="H179" i="25" s="1"/>
  <c r="H180" i="25" s="1"/>
  <c r="H181" i="25" s="1"/>
  <c r="H182" i="25" s="1"/>
  <c r="H183" i="25" s="1"/>
  <c r="H184" i="25" s="1"/>
  <c r="H185" i="25" s="1"/>
  <c r="H186" i="25" s="1"/>
  <c r="H187" i="25" s="1"/>
  <c r="H188" i="25" s="1"/>
  <c r="H189" i="25" s="1"/>
  <c r="H190" i="25" s="1"/>
  <c r="H191" i="25" s="1"/>
  <c r="H192" i="25" s="1"/>
  <c r="H193" i="25" s="1"/>
  <c r="H194" i="25" s="1"/>
  <c r="H195" i="25" s="1"/>
  <c r="H196" i="25" s="1"/>
  <c r="H197" i="25" s="1"/>
  <c r="H198" i="25" s="1"/>
  <c r="H199" i="25" s="1"/>
  <c r="H200" i="25" s="1"/>
  <c r="H201" i="25" s="1"/>
  <c r="H202" i="25" s="1"/>
  <c r="H203" i="25" s="1"/>
  <c r="H204" i="25" s="1"/>
  <c r="H205" i="25" s="1"/>
  <c r="H206" i="25" s="1"/>
  <c r="H2" i="26" s="1"/>
  <c r="E6" i="26" s="1"/>
  <c r="G6" i="26" l="1"/>
  <c r="H6" i="26"/>
  <c r="H7" i="26" s="1"/>
  <c r="H8" i="26" s="1"/>
  <c r="H9" i="26" s="1"/>
  <c r="H10" i="26" s="1"/>
  <c r="H11" i="26" s="1"/>
  <c r="H12" i="26" s="1"/>
  <c r="H13" i="26" s="1"/>
  <c r="H14" i="26" s="1"/>
  <c r="H15" i="26" s="1"/>
  <c r="H16" i="26" s="1"/>
  <c r="H17" i="26" s="1"/>
  <c r="H18" i="26" s="1"/>
  <c r="H19" i="26" s="1"/>
  <c r="H20" i="26" s="1"/>
  <c r="H21" i="26" s="1"/>
  <c r="H22" i="26" s="1"/>
  <c r="H23" i="26" s="1"/>
  <c r="H24" i="26" s="1"/>
  <c r="H25" i="26" s="1"/>
  <c r="H26" i="26" s="1"/>
  <c r="H27" i="26" s="1"/>
  <c r="H28" i="26" s="1"/>
  <c r="H29" i="26" s="1"/>
  <c r="H30" i="26" s="1"/>
  <c r="H31" i="26" s="1"/>
  <c r="H32" i="26" s="1"/>
  <c r="H33" i="26" s="1"/>
  <c r="H34" i="26" s="1"/>
  <c r="H35" i="26" s="1"/>
  <c r="H36" i="26" s="1"/>
  <c r="H37" i="26" s="1"/>
  <c r="H38" i="26" s="1"/>
  <c r="H39" i="26" s="1"/>
  <c r="H40" i="26" s="1"/>
  <c r="H41" i="26" s="1"/>
  <c r="H42" i="26" s="1"/>
  <c r="H43" i="26" s="1"/>
  <c r="H44" i="26" s="1"/>
  <c r="H45" i="26" s="1"/>
  <c r="H46" i="26" s="1"/>
  <c r="H47" i="26" s="1"/>
  <c r="H48" i="26" s="1"/>
  <c r="H49" i="26" s="1"/>
  <c r="H50" i="26" s="1"/>
  <c r="H51" i="26" s="1"/>
  <c r="H52" i="26" s="1"/>
  <c r="H53" i="26" s="1"/>
  <c r="H54" i="26" s="1"/>
  <c r="H55" i="26" s="1"/>
  <c r="H56" i="26" s="1"/>
  <c r="H57" i="26" s="1"/>
  <c r="H58" i="26" s="1"/>
  <c r="H59" i="26" s="1"/>
  <c r="H60" i="26" s="1"/>
  <c r="H61" i="26" s="1"/>
  <c r="H62" i="26" s="1"/>
  <c r="H63" i="26" s="1"/>
  <c r="H64" i="26" s="1"/>
  <c r="H65" i="26" s="1"/>
  <c r="H66" i="26" s="1"/>
  <c r="H67" i="26" s="1"/>
  <c r="H68" i="26" s="1"/>
  <c r="H69" i="26" s="1"/>
  <c r="H70" i="26" s="1"/>
  <c r="H71" i="26" s="1"/>
  <c r="H72" i="26" s="1"/>
  <c r="H73" i="26" s="1"/>
  <c r="H74" i="26" s="1"/>
  <c r="H75" i="26" s="1"/>
  <c r="H76" i="26" s="1"/>
  <c r="H77" i="26" s="1"/>
  <c r="H78" i="26" s="1"/>
  <c r="H79" i="26" s="1"/>
  <c r="H80" i="26" s="1"/>
  <c r="H81" i="26" s="1"/>
  <c r="H82" i="26" s="1"/>
  <c r="H83" i="26" s="1"/>
  <c r="H84" i="26" s="1"/>
  <c r="H85" i="26" s="1"/>
  <c r="H86" i="26" s="1"/>
  <c r="H87" i="26" s="1"/>
  <c r="H88" i="26" s="1"/>
  <c r="H89" i="26" s="1"/>
  <c r="H90" i="26" s="1"/>
  <c r="H91" i="26" s="1"/>
  <c r="H92" i="26" s="1"/>
  <c r="H93" i="26" s="1"/>
  <c r="H94" i="26" s="1"/>
  <c r="H95" i="26" s="1"/>
  <c r="H96" i="26" s="1"/>
  <c r="H97" i="26" s="1"/>
  <c r="H98" i="26" s="1"/>
  <c r="H99" i="26" s="1"/>
  <c r="H100" i="26" s="1"/>
  <c r="H101" i="26" s="1"/>
  <c r="H102" i="26" s="1"/>
  <c r="H103" i="26" s="1"/>
  <c r="H104" i="26" s="1"/>
  <c r="H105" i="26" s="1"/>
  <c r="H106" i="26" s="1"/>
  <c r="H107" i="26" s="1"/>
  <c r="H108" i="26" s="1"/>
  <c r="H109" i="26" s="1"/>
  <c r="H110" i="26" s="1"/>
  <c r="H111" i="26" s="1"/>
  <c r="H112" i="26" s="1"/>
  <c r="H113" i="26" s="1"/>
  <c r="H114" i="26" s="1"/>
  <c r="H115" i="26" s="1"/>
  <c r="H116" i="26" s="1"/>
  <c r="H117" i="26" s="1"/>
  <c r="H118" i="26" s="1"/>
  <c r="H119" i="26" s="1"/>
  <c r="H120" i="26" s="1"/>
  <c r="H121" i="26" s="1"/>
  <c r="H122" i="26" s="1"/>
  <c r="H123" i="26" s="1"/>
  <c r="H124" i="26" s="1"/>
  <c r="H125" i="26" s="1"/>
  <c r="H126" i="26" s="1"/>
  <c r="H127" i="26" s="1"/>
  <c r="H128" i="26" s="1"/>
  <c r="H129" i="26" s="1"/>
  <c r="H130" i="26" s="1"/>
  <c r="H131" i="26" s="1"/>
  <c r="H132" i="26" s="1"/>
  <c r="H133" i="26" s="1"/>
  <c r="H134" i="26" s="1"/>
  <c r="H135" i="26" s="1"/>
  <c r="H136" i="26" s="1"/>
  <c r="H137" i="26" s="1"/>
  <c r="H138" i="26" s="1"/>
  <c r="H139" i="26" s="1"/>
  <c r="H140" i="26" s="1"/>
  <c r="H141" i="26" s="1"/>
  <c r="H142" i="26" s="1"/>
  <c r="H143" i="26" s="1"/>
  <c r="H144" i="26" s="1"/>
  <c r="H145" i="26" s="1"/>
  <c r="H146" i="26" s="1"/>
  <c r="H147" i="26" s="1"/>
  <c r="H148" i="26" s="1"/>
  <c r="H149" i="26" s="1"/>
  <c r="H150" i="26" s="1"/>
  <c r="H151" i="26" s="1"/>
  <c r="H152" i="26" s="1"/>
  <c r="H153" i="26" s="1"/>
  <c r="H154" i="26" s="1"/>
  <c r="H155" i="26" s="1"/>
  <c r="H156" i="26" s="1"/>
  <c r="H157" i="26" s="1"/>
  <c r="H158" i="26" s="1"/>
  <c r="H159" i="26" s="1"/>
  <c r="H160" i="26" s="1"/>
  <c r="H161" i="26" s="1"/>
  <c r="H162" i="26" s="1"/>
  <c r="H163" i="26" s="1"/>
  <c r="H164" i="26" s="1"/>
  <c r="H165" i="26" s="1"/>
  <c r="H166" i="26" s="1"/>
  <c r="H167" i="26" s="1"/>
  <c r="H168" i="26" s="1"/>
  <c r="H169" i="26" s="1"/>
  <c r="H170" i="26" s="1"/>
  <c r="H171" i="26" s="1"/>
  <c r="H172" i="26" s="1"/>
  <c r="H173" i="26" s="1"/>
  <c r="H174" i="26" s="1"/>
  <c r="H175" i="26" s="1"/>
  <c r="H176" i="26" s="1"/>
  <c r="H177" i="26" s="1"/>
  <c r="H178" i="26" s="1"/>
  <c r="H179" i="26" s="1"/>
  <c r="H180" i="26" s="1"/>
  <c r="H181" i="26" s="1"/>
  <c r="H182" i="26" s="1"/>
  <c r="H183" i="26" s="1"/>
  <c r="H184" i="26" s="1"/>
  <c r="H185" i="26" s="1"/>
  <c r="H186" i="26" s="1"/>
  <c r="H187" i="26" s="1"/>
  <c r="H188" i="26" s="1"/>
  <c r="H189" i="26" s="1"/>
  <c r="H190" i="26" s="1"/>
  <c r="H191" i="26" s="1"/>
  <c r="H192" i="26" s="1"/>
  <c r="H193" i="26" s="1"/>
  <c r="H194" i="26" s="1"/>
  <c r="H195" i="26" s="1"/>
  <c r="H196" i="26" s="1"/>
  <c r="H197" i="26" s="1"/>
  <c r="H198" i="26" s="1"/>
  <c r="H199" i="26" s="1"/>
  <c r="H200" i="26" s="1"/>
  <c r="H201" i="26" s="1"/>
  <c r="H202" i="26" s="1"/>
  <c r="H203" i="26" s="1"/>
  <c r="H204" i="26" s="1"/>
  <c r="H205" i="26" s="1"/>
  <c r="H206" i="26" s="1"/>
  <c r="H2" i="28" s="1"/>
  <c r="E6" i="28" s="1"/>
  <c r="G6" i="28" l="1"/>
  <c r="H6" i="28"/>
  <c r="H7" i="28" s="1"/>
  <c r="H8" i="28" s="1"/>
  <c r="H9" i="28" s="1"/>
  <c r="H10" i="28" s="1"/>
  <c r="H11" i="28" s="1"/>
  <c r="H12" i="28" s="1"/>
  <c r="H13" i="28" s="1"/>
  <c r="H14" i="28" s="1"/>
  <c r="H15" i="28" s="1"/>
  <c r="H16" i="28" s="1"/>
  <c r="H17" i="28" s="1"/>
  <c r="H18" i="28" s="1"/>
  <c r="H19" i="28" s="1"/>
  <c r="H20" i="28" s="1"/>
  <c r="H21" i="28" s="1"/>
  <c r="H22" i="28" s="1"/>
  <c r="H23" i="28" s="1"/>
  <c r="H24" i="28" s="1"/>
  <c r="H25" i="28" s="1"/>
  <c r="H26" i="28" s="1"/>
  <c r="H27" i="28" s="1"/>
  <c r="H28" i="28" s="1"/>
  <c r="H29" i="28" s="1"/>
  <c r="H30" i="28" s="1"/>
  <c r="H31" i="28" s="1"/>
  <c r="H32" i="28" s="1"/>
  <c r="H33" i="28" s="1"/>
  <c r="H34" i="28" s="1"/>
  <c r="H35" i="28" s="1"/>
  <c r="H36" i="28" s="1"/>
  <c r="H37" i="28" s="1"/>
  <c r="H38" i="28" s="1"/>
  <c r="H39" i="28" s="1"/>
  <c r="H40" i="28" s="1"/>
  <c r="H41" i="28" s="1"/>
  <c r="H42" i="28" s="1"/>
  <c r="H43" i="28" s="1"/>
  <c r="H44" i="28" s="1"/>
  <c r="H45" i="28" s="1"/>
  <c r="H46" i="28" s="1"/>
  <c r="H47" i="28" s="1"/>
  <c r="H48" i="28" s="1"/>
  <c r="H49" i="28" s="1"/>
  <c r="H50" i="28" s="1"/>
  <c r="H51" i="28" s="1"/>
  <c r="H52" i="28" s="1"/>
  <c r="H53" i="28" s="1"/>
  <c r="H54" i="28" s="1"/>
  <c r="H55" i="28" s="1"/>
  <c r="H56" i="28" s="1"/>
  <c r="H57" i="28" s="1"/>
  <c r="H58" i="28" s="1"/>
  <c r="H59" i="28" s="1"/>
  <c r="H60" i="28" s="1"/>
  <c r="H61" i="28" s="1"/>
  <c r="H62" i="28" s="1"/>
  <c r="H63" i="28" s="1"/>
  <c r="H64" i="28" s="1"/>
  <c r="H65" i="28" s="1"/>
  <c r="H66" i="28" s="1"/>
  <c r="H67" i="28" s="1"/>
  <c r="H68" i="28" s="1"/>
  <c r="H69" i="28" s="1"/>
  <c r="H70" i="28" s="1"/>
  <c r="H71" i="28" s="1"/>
  <c r="H72" i="28" s="1"/>
  <c r="H73" i="28" s="1"/>
  <c r="H74" i="28" s="1"/>
  <c r="H75" i="28" s="1"/>
  <c r="H76" i="28" s="1"/>
  <c r="H77" i="28" s="1"/>
  <c r="H78" i="28" s="1"/>
  <c r="H79" i="28" s="1"/>
  <c r="H80" i="28" s="1"/>
  <c r="H81" i="28" s="1"/>
  <c r="H82" i="28" s="1"/>
  <c r="H83" i="28" s="1"/>
  <c r="H84" i="28" s="1"/>
  <c r="H85" i="28" s="1"/>
  <c r="H86" i="28" s="1"/>
  <c r="H87" i="28" s="1"/>
  <c r="H88" i="28" s="1"/>
  <c r="H89" i="28" s="1"/>
  <c r="H90" i="28" s="1"/>
  <c r="H91" i="28" s="1"/>
  <c r="H92" i="28" s="1"/>
  <c r="H93" i="28" s="1"/>
  <c r="H94" i="28" s="1"/>
  <c r="H95" i="28" s="1"/>
  <c r="H96" i="28" s="1"/>
  <c r="H97" i="28" s="1"/>
  <c r="H98" i="28" s="1"/>
  <c r="H99" i="28" s="1"/>
  <c r="H100" i="28" s="1"/>
  <c r="H101" i="28" s="1"/>
  <c r="H102" i="28" s="1"/>
  <c r="H103" i="28" s="1"/>
  <c r="H104" i="28" s="1"/>
  <c r="H105" i="28" s="1"/>
  <c r="H106" i="28" s="1"/>
  <c r="H107" i="28" s="1"/>
  <c r="H108" i="28" s="1"/>
  <c r="H109" i="28" s="1"/>
  <c r="H110" i="28" s="1"/>
  <c r="H111" i="28" s="1"/>
  <c r="H112" i="28" s="1"/>
  <c r="H113" i="28" s="1"/>
  <c r="H114" i="28" s="1"/>
  <c r="H115" i="28" s="1"/>
  <c r="H116" i="28" s="1"/>
  <c r="H117" i="28" s="1"/>
  <c r="H118" i="28" s="1"/>
  <c r="H119" i="28" s="1"/>
  <c r="H120" i="28" s="1"/>
  <c r="H121" i="28" s="1"/>
  <c r="H122" i="28" s="1"/>
  <c r="H123" i="28" s="1"/>
  <c r="H124" i="28" s="1"/>
  <c r="H125" i="28" s="1"/>
  <c r="H126" i="28" s="1"/>
  <c r="H127" i="28" s="1"/>
  <c r="H128" i="28" s="1"/>
  <c r="H129" i="28" s="1"/>
  <c r="H130" i="28" s="1"/>
  <c r="H131" i="28" s="1"/>
  <c r="H132" i="28" s="1"/>
  <c r="H133" i="28" s="1"/>
  <c r="H134" i="28" s="1"/>
  <c r="H135" i="28" s="1"/>
  <c r="H136" i="28" s="1"/>
  <c r="H137" i="28" s="1"/>
  <c r="H138" i="28" s="1"/>
  <c r="H139" i="28" s="1"/>
  <c r="H140" i="28" s="1"/>
  <c r="H141" i="28" s="1"/>
  <c r="H142" i="28" s="1"/>
  <c r="H143" i="28" s="1"/>
  <c r="H144" i="28" s="1"/>
  <c r="H145" i="28" s="1"/>
  <c r="H146" i="28" s="1"/>
  <c r="H147" i="28" s="1"/>
  <c r="H148" i="28" s="1"/>
  <c r="H149" i="28" s="1"/>
  <c r="H150" i="28" s="1"/>
  <c r="H151" i="28" s="1"/>
  <c r="H152" i="28" s="1"/>
  <c r="H153" i="28" s="1"/>
  <c r="H154" i="28" s="1"/>
  <c r="H155" i="28" s="1"/>
  <c r="H156" i="28" s="1"/>
  <c r="H157" i="28" s="1"/>
  <c r="H158" i="28" s="1"/>
  <c r="H159" i="28" s="1"/>
  <c r="H160" i="28" s="1"/>
  <c r="H161" i="28" s="1"/>
  <c r="H162" i="28" s="1"/>
  <c r="H163" i="28" s="1"/>
  <c r="H164" i="28" s="1"/>
  <c r="H165" i="28" s="1"/>
  <c r="H166" i="28" s="1"/>
  <c r="H167" i="28" s="1"/>
  <c r="H168" i="28" s="1"/>
  <c r="H169" i="28" s="1"/>
  <c r="H170" i="28" s="1"/>
  <c r="H171" i="28" s="1"/>
  <c r="H172" i="28" s="1"/>
  <c r="H173" i="28" s="1"/>
  <c r="H174" i="28" s="1"/>
  <c r="H175" i="28" s="1"/>
  <c r="H176" i="28" s="1"/>
  <c r="H177" i="28" s="1"/>
  <c r="H178" i="28" s="1"/>
  <c r="H179" i="28" s="1"/>
  <c r="H180" i="28" s="1"/>
  <c r="H181" i="28" s="1"/>
  <c r="H182" i="28" s="1"/>
  <c r="H183" i="28" s="1"/>
  <c r="H184" i="28" s="1"/>
  <c r="H185" i="28" s="1"/>
  <c r="H186" i="28" s="1"/>
  <c r="H187" i="28" s="1"/>
  <c r="H188" i="28" s="1"/>
  <c r="H189" i="28" s="1"/>
  <c r="H190" i="28" s="1"/>
  <c r="H191" i="28" s="1"/>
  <c r="H192" i="28" s="1"/>
  <c r="H193" i="28" s="1"/>
  <c r="H194" i="28" s="1"/>
  <c r="H195" i="28" s="1"/>
  <c r="H196" i="28" s="1"/>
  <c r="H197" i="28" s="1"/>
  <c r="H198" i="28" s="1"/>
  <c r="H199" i="28" s="1"/>
  <c r="H200" i="28" s="1"/>
  <c r="H201" i="28" s="1"/>
  <c r="H202" i="28" s="1"/>
  <c r="H203" i="28" s="1"/>
  <c r="H204" i="28" s="1"/>
  <c r="H205" i="28" s="1"/>
  <c r="H206" i="28" s="1"/>
</calcChain>
</file>

<file path=xl/sharedStrings.xml><?xml version="1.0" encoding="utf-8"?>
<sst xmlns="http://schemas.openxmlformats.org/spreadsheetml/2006/main" count="340" uniqueCount="73">
  <si>
    <t>Despesas</t>
  </si>
  <si>
    <t>Receitas</t>
  </si>
  <si>
    <t>Formas de Pagamento</t>
  </si>
  <si>
    <t>Fornecedores</t>
  </si>
  <si>
    <t>Previsão de receita de Vendas</t>
  </si>
  <si>
    <t xml:space="preserve">Caixa </t>
  </si>
  <si>
    <t>Aluguel/Condomínio</t>
  </si>
  <si>
    <t>Receita de Vendas - Realizada</t>
  </si>
  <si>
    <t>Banco do Brasil</t>
  </si>
  <si>
    <t>Energia Elétrica</t>
  </si>
  <si>
    <t>Prestação de Serviços</t>
  </si>
  <si>
    <t>Nubank</t>
  </si>
  <si>
    <t>Folha de Pagamento / Pró-labore</t>
  </si>
  <si>
    <t>Receitas Financeiras (Juros/ Rendimentos Recebidos)</t>
  </si>
  <si>
    <t>Banco Inter</t>
  </si>
  <si>
    <t>Encargos Trabalhistas</t>
  </si>
  <si>
    <t>Outras Receitas Operacionais</t>
  </si>
  <si>
    <t>Contabilidade</t>
  </si>
  <si>
    <t>Licenças de Software/Sistemas</t>
  </si>
  <si>
    <t>Matéria Prima / Mercadorias</t>
  </si>
  <si>
    <t>Frete</t>
  </si>
  <si>
    <t>Comissões de Vendas</t>
  </si>
  <si>
    <t>Taxas de Cartão / Gateways de Pagamento</t>
  </si>
  <si>
    <t>Desenvolvido por:</t>
  </si>
  <si>
    <t>Demonstrativo Anual</t>
  </si>
  <si>
    <t>(Os dados serão preenchidos automaticamente conforme você preencher as páginas mensais)</t>
  </si>
  <si>
    <t>JANEIRO</t>
  </si>
  <si>
    <t>FEVEREIRO</t>
  </si>
  <si>
    <t>MARÇO</t>
  </si>
  <si>
    <t>ABRIL</t>
  </si>
  <si>
    <t>MAIO</t>
  </si>
  <si>
    <t>JUNHO</t>
  </si>
  <si>
    <t>SALDO ANTERIOR</t>
  </si>
  <si>
    <t>TOTAL ENTRADAS</t>
  </si>
  <si>
    <t>TOTAL SAÍDAS</t>
  </si>
  <si>
    <t>SALDO FINAL</t>
  </si>
  <si>
    <t>JULHO</t>
  </si>
  <si>
    <t>AGOSTO</t>
  </si>
  <si>
    <t>SETEMBRO</t>
  </si>
  <si>
    <t>OUTUBRO</t>
  </si>
  <si>
    <t>NOVEMBRO</t>
  </si>
  <si>
    <t>DEZEMBRO</t>
  </si>
  <si>
    <t>Janeiro</t>
  </si>
  <si>
    <t>SALDO ANTERIOR:</t>
  </si>
  <si>
    <t>Preencha com o Saldo Inicial »</t>
  </si>
  <si>
    <t>Tipo</t>
  </si>
  <si>
    <t>Categoria</t>
  </si>
  <si>
    <t>Forma de Pagamento</t>
  </si>
  <si>
    <t>Observações</t>
  </si>
  <si>
    <t>Valor</t>
  </si>
  <si>
    <t xml:space="preserve">Data </t>
  </si>
  <si>
    <t>Saldo</t>
  </si>
  <si>
    <t>SALDO INICIAL</t>
  </si>
  <si>
    <t>EXEMPLO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</si>
  <si>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</si>
  <si>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</si>
  <si>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</si>
  <si>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</si>
  <si>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</si>
  <si>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</si>
  <si>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</si>
  <si>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</si>
  <si>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</si>
  <si>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</si>
  <si>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</si>
  <si>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DESPESAS</t>
  </si>
  <si>
    <t>RECEITAS</t>
  </si>
  <si>
    <t>MOV</t>
  </si>
  <si>
    <t>Preencha essa aba com as categorias de Despesas e Receitas que serão utilizadas em seu dia a dia. Também Preencha as formas de pagamento que você costuma Utilizar. Qualquer dúvida ou sugestão entre em contato com nossa equipe pelo link abaixo:</t>
  </si>
  <si>
    <t>Whatsapp 47 3180-4931</t>
  </si>
  <si>
    <t>oasystecnologia.com</t>
  </si>
  <si>
    <t>Fim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</si>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</sst>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$R$ -416]#,##0.00"/>
  </numFmts>
  <fonts count="31">
    <font>
      <sz val="10"/>
      <color rgb="FF000000"/>
      <name val="Arial"/>
      <scheme val="minor"/>
    </font>
    <font>
      <i/>
      <sz val="17"/>
      <color rgb="FFFFFFFF"/>
      <name val="Calibri"/>
    </font>
    <font>
      <b/>
      <sz val="18"/>
      <color rgb="FF0B5394"/>
      <name val="Calibri"/>
    </font>
    <font>
      <sz val="10"/>
      <color theme="1"/>
      <name val="Arial"/>
    </font>
    <font>
      <sz val="10"/>
      <color rgb="FF000000"/>
      <name val="Verdana"/>
    </font>
    <font>
      <sz val="10"/>
      <color rgb="FF000000"/>
      <name val="Montserrat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24"/>
      <color theme="1"/>
      <name val="Arial"/>
      <scheme val="minor"/>
    </font>
    <font>
      <sz val="11"/>
      <color rgb="FF000000"/>
      <name val="Arial"/>
      <scheme val="minor"/>
    </font>
    <font>
      <i/>
      <sz val="10"/>
      <color theme="1"/>
      <name val="Arial"/>
      <scheme val="minor"/>
    </font>
    <font>
      <b/>
      <sz val="11"/>
      <color theme="1"/>
      <name val="Arial"/>
      <scheme val="minor"/>
    </font>
    <font>
      <b/>
      <i/>
      <sz val="11"/>
      <color rgb="FF000000"/>
      <name val="Arial"/>
      <scheme val="minor"/>
    </font>
    <font>
      <b/>
      <sz val="36"/>
      <color theme="1"/>
      <name val="Arial"/>
    </font>
    <font>
      <b/>
      <sz val="14"/>
      <color theme="1"/>
      <name val="Calibri"/>
    </font>
    <font>
      <u/>
      <sz val="10"/>
      <color theme="10"/>
      <name val="Arial"/>
      <scheme val="minor"/>
    </font>
    <font>
      <sz val="12"/>
      <color theme="2"/>
      <name val="Calibri"/>
    </font>
    <font>
      <sz val="11"/>
      <name val="Calibri"/>
      <family val="2"/>
    </font>
    <font>
      <b/>
      <sz val="14"/>
      <name val="Calibri"/>
      <family val="2"/>
    </font>
    <font>
      <sz val="10"/>
      <name val="Arial"/>
      <family val="2"/>
      <scheme val="minor"/>
    </font>
    <font>
      <sz val="10"/>
      <name val="Arial"/>
      <family val="2"/>
    </font>
    <font>
      <b/>
      <sz val="18"/>
      <color rgb="FF0B5394"/>
      <name val="Calibri"/>
      <family val="2"/>
    </font>
    <font>
      <sz val="11"/>
      <color theme="1"/>
      <name val="Calibri"/>
      <family val="2"/>
    </font>
    <font>
      <i/>
      <sz val="17"/>
      <color rgb="FFFFFFFF"/>
      <name val="Calibri"/>
      <family val="2"/>
    </font>
    <font>
      <sz val="10"/>
      <color rgb="FF000000"/>
      <name val="Arial"/>
      <family val="2"/>
      <scheme val="minor"/>
    </font>
    <font>
      <u/>
      <sz val="17"/>
      <color theme="0"/>
      <name val="Calibri "/>
    </font>
    <font>
      <u/>
      <sz val="10"/>
      <color theme="1"/>
      <name val="Arial"/>
      <family val="2"/>
    </font>
    <font>
      <sz val="11"/>
      <color rgb="FF000000"/>
      <name val="Calibri"/>
      <family val="2"/>
    </font>
    <font>
      <b/>
      <sz val="36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theme="8"/>
        <bgColor theme="8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73763"/>
      </patternFill>
    </fill>
    <fill>
      <patternFill patternType="solid">
        <fgColor theme="0" tint="-0.249977111117893"/>
        <bgColor theme="8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75">
    <xf numFmtId="0" fontId="0" fillId="0" borderId="0" xfId="0" applyAlignment="1"/>
    <xf numFmtId="0" fontId="1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right"/>
    </xf>
    <xf numFmtId="0" fontId="12" fillId="0" borderId="0" xfId="0" applyFont="1"/>
    <xf numFmtId="0" fontId="14" fillId="4" borderId="0" xfId="0" applyFont="1" applyFill="1"/>
    <xf numFmtId="0" fontId="13" fillId="0" borderId="0" xfId="0" applyFont="1"/>
    <xf numFmtId="0" fontId="8" fillId="4" borderId="2" xfId="0" applyFont="1" applyFill="1" applyBorder="1"/>
    <xf numFmtId="165" fontId="8" fillId="4" borderId="2" xfId="0" applyNumberFormat="1" applyFont="1" applyFill="1" applyBorder="1"/>
    <xf numFmtId="0" fontId="8" fillId="4" borderId="0" xfId="0" applyFont="1" applyFill="1"/>
    <xf numFmtId="165" fontId="8" fillId="4" borderId="0" xfId="0" applyNumberFormat="1" applyFont="1" applyFill="1"/>
    <xf numFmtId="0" fontId="11" fillId="4" borderId="0" xfId="0" applyFont="1" applyFill="1"/>
    <xf numFmtId="0" fontId="7" fillId="5" borderId="0" xfId="0" applyFont="1" applyFill="1" applyAlignment="1">
      <alignment horizontal="center"/>
    </xf>
    <xf numFmtId="0" fontId="3" fillId="5" borderId="0" xfId="0" applyFont="1" applyFill="1" applyAlignment="1"/>
    <xf numFmtId="165" fontId="3" fillId="5" borderId="0" xfId="0" applyNumberFormat="1" applyFont="1" applyFill="1"/>
    <xf numFmtId="0" fontId="9" fillId="5" borderId="0" xfId="0" applyFont="1" applyFill="1"/>
    <xf numFmtId="165" fontId="3" fillId="5" borderId="0" xfId="0" applyNumberFormat="1" applyFont="1" applyFill="1" applyAlignment="1"/>
    <xf numFmtId="165" fontId="7" fillId="7" borderId="0" xfId="0" applyNumberFormat="1" applyFont="1" applyFill="1" applyAlignment="1"/>
    <xf numFmtId="14" fontId="7" fillId="7" borderId="0" xfId="0" applyNumberFormat="1" applyFont="1" applyFill="1" applyAlignment="1"/>
    <xf numFmtId="14" fontId="7" fillId="0" borderId="0" xfId="0" applyNumberFormat="1" applyFont="1" applyAlignment="1"/>
    <xf numFmtId="14" fontId="7" fillId="3" borderId="0" xfId="0" applyNumberFormat="1" applyFont="1" applyFill="1" applyAlignment="1"/>
    <xf numFmtId="0" fontId="7" fillId="0" borderId="0" xfId="0" applyFont="1" applyAlignment="1"/>
    <xf numFmtId="165" fontId="7" fillId="0" borderId="0" xfId="0" applyNumberFormat="1" applyFont="1" applyAlignment="1"/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7" fillId="7" borderId="0" xfId="0" applyFont="1" applyFill="1" applyAlignment="1"/>
    <xf numFmtId="0" fontId="0" fillId="0" borderId="0" xfId="0"/>
    <xf numFmtId="0" fontId="18" fillId="2" borderId="0" xfId="0" applyFont="1" applyFill="1" applyAlignment="1">
      <alignment horizontal="center" wrapText="1"/>
    </xf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/>
    </xf>
    <xf numFmtId="165" fontId="22" fillId="5" borderId="0" xfId="0" applyNumberFormat="1" applyFont="1" applyFill="1" applyAlignment="1">
      <alignment wrapText="1"/>
    </xf>
    <xf numFmtId="165" fontId="22" fillId="2" borderId="0" xfId="0" applyNumberFormat="1" applyFont="1" applyFill="1" applyAlignment="1">
      <alignment horizontal="center"/>
    </xf>
    <xf numFmtId="0" fontId="21" fillId="0" borderId="0" xfId="0" applyFont="1"/>
    <xf numFmtId="0" fontId="24" fillId="0" borderId="0" xfId="0" applyFont="1" applyAlignment="1"/>
    <xf numFmtId="0" fontId="20" fillId="5" borderId="0" xfId="0" applyFont="1" applyFill="1" applyAlignment="1"/>
    <xf numFmtId="165" fontId="18" fillId="2" borderId="0" xfId="0" applyNumberFormat="1" applyFont="1" applyFill="1" applyAlignment="1">
      <alignment horizontal="center"/>
    </xf>
    <xf numFmtId="0" fontId="26" fillId="0" borderId="0" xfId="0" applyFont="1" applyFill="1" applyAlignment="1"/>
    <xf numFmtId="0" fontId="0" fillId="0" borderId="0" xfId="0" applyFill="1" applyAlignment="1"/>
    <xf numFmtId="0" fontId="23" fillId="0" borderId="0" xfId="0" applyFont="1" applyFill="1" applyAlignment="1">
      <alignment horizontal="left"/>
    </xf>
    <xf numFmtId="0" fontId="23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0" fillId="0" borderId="0" xfId="0" applyFill="1"/>
    <xf numFmtId="164" fontId="3" fillId="0" borderId="0" xfId="0" applyNumberFormat="1" applyFont="1" applyFill="1" applyAlignment="1"/>
    <xf numFmtId="164" fontId="7" fillId="0" borderId="0" xfId="0" applyNumberFormat="1" applyFont="1" applyFill="1" applyAlignment="1"/>
    <xf numFmtId="0" fontId="7" fillId="0" borderId="0" xfId="0" applyFont="1" applyFill="1" applyAlignment="1">
      <alignment horizontal="center"/>
    </xf>
    <xf numFmtId="0" fontId="7" fillId="0" borderId="0" xfId="0" applyFont="1" applyFill="1"/>
    <xf numFmtId="0" fontId="8" fillId="0" borderId="0" xfId="0" applyFont="1" applyFill="1"/>
    <xf numFmtId="0" fontId="0" fillId="0" borderId="3" xfId="0" applyFill="1" applyBorder="1"/>
    <xf numFmtId="164" fontId="28" fillId="0" borderId="0" xfId="0" applyNumberFormat="1" applyFont="1" applyFill="1" applyAlignment="1"/>
    <xf numFmtId="0" fontId="24" fillId="0" borderId="0" xfId="0" applyFont="1" applyAlignment="1">
      <alignment vertical="center"/>
    </xf>
    <xf numFmtId="165" fontId="19" fillId="10" borderId="0" xfId="0" applyNumberFormat="1" applyFont="1" applyFill="1" applyAlignment="1"/>
    <xf numFmtId="165" fontId="7" fillId="10" borderId="0" xfId="0" applyNumberFormat="1" applyFont="1" applyFill="1" applyAlignment="1"/>
    <xf numFmtId="165" fontId="19" fillId="11" borderId="0" xfId="0" applyNumberFormat="1" applyFont="1" applyFill="1" applyAlignment="1">
      <alignment vertical="center"/>
    </xf>
    <xf numFmtId="165" fontId="6" fillId="11" borderId="0" xfId="0" applyNumberFormat="1" applyFont="1" applyFill="1" applyAlignment="1">
      <alignment vertical="center"/>
    </xf>
    <xf numFmtId="0" fontId="24" fillId="12" borderId="0" xfId="0" applyFont="1" applyFill="1" applyAlignment="1">
      <alignment vertical="center"/>
    </xf>
    <xf numFmtId="165" fontId="29" fillId="11" borderId="0" xfId="0" applyNumberFormat="1" applyFont="1" applyFill="1" applyAlignment="1">
      <alignment vertical="center"/>
    </xf>
    <xf numFmtId="0" fontId="7" fillId="0" borderId="0" xfId="0" applyFont="1" applyAlignment="1">
      <alignment horizontal="center"/>
    </xf>
    <xf numFmtId="0" fontId="0" fillId="0" borderId="0" xfId="0" applyAlignment="1"/>
    <xf numFmtId="0" fontId="25" fillId="9" borderId="0" xfId="0" applyFont="1" applyFill="1" applyAlignment="1">
      <alignment horizontal="left" vertical="center" wrapText="1"/>
    </xf>
    <xf numFmtId="0" fontId="27" fillId="8" borderId="0" xfId="1" applyFont="1" applyFill="1" applyAlignment="1">
      <alignment horizontal="center"/>
    </xf>
    <xf numFmtId="0" fontId="10" fillId="0" borderId="0" xfId="0" applyFont="1"/>
    <xf numFmtId="0" fontId="0" fillId="0" borderId="0" xfId="0"/>
    <xf numFmtId="0" fontId="13" fillId="4" borderId="2" xfId="0" applyFont="1" applyFill="1" applyBorder="1" applyAlignment="1">
      <alignment horizontal="center"/>
    </xf>
    <xf numFmtId="0" fontId="0" fillId="0" borderId="1" xfId="0" applyBorder="1"/>
    <xf numFmtId="0" fontId="11" fillId="3" borderId="0" xfId="0" applyFont="1" applyFill="1"/>
    <xf numFmtId="0" fontId="7" fillId="5" borderId="0" xfId="0" applyFont="1" applyFill="1" applyAlignment="1">
      <alignment horizontal="center"/>
    </xf>
    <xf numFmtId="0" fontId="15" fillId="5" borderId="0" xfId="0" applyFont="1" applyFill="1" applyAlignment="1">
      <alignment horizontal="center" vertical="center" wrapText="1"/>
    </xf>
    <xf numFmtId="165" fontId="20" fillId="6" borderId="0" xfId="0" applyNumberFormat="1" applyFont="1" applyFill="1" applyAlignment="1">
      <alignment horizontal="center" vertical="center"/>
    </xf>
    <xf numFmtId="0" fontId="16" fillId="5" borderId="3" xfId="0" applyFont="1" applyFill="1" applyBorder="1" applyAlignment="1">
      <alignment horizontal="center" wrapText="1"/>
    </xf>
    <xf numFmtId="0" fontId="30" fillId="5" borderId="0" xfId="0" applyFont="1" applyFill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6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 defaultTableStyle="TableStyleMedium9" defaultPivotStyle="PivotStyleLight16">
    <tableStyle name="JAN-style" pivot="0" count="4" xr9:uid="{00000000-0011-0000-FFFF-FFFF00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FEV-style" pivot="0" count="4" xr9:uid="{00000000-0011-0000-FFFF-FFFF01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MAR-style" pivot="0" count="4" xr9:uid="{00000000-0011-0000-FFFF-FFFF02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ABR-style" pivot="0" count="4" xr9:uid="{00000000-0011-0000-FFFF-FFFF03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MAI-style" pivot="0" count="4" xr9:uid="{00000000-0011-0000-FFFF-FFFF04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JUN-style" pivot="0" count="4" xr9:uid="{00000000-0011-0000-FFFF-FFFF05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JUL-style" pivot="0" count="4" xr9:uid="{00000000-0011-0000-FFFF-FFFF06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AGO-style" pivot="0" count="4" xr9:uid="{00000000-0011-0000-FFFF-FFFF07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SET-style" pivot="0" count="4" xr9:uid="{00000000-0011-0000-FFFF-FFFF08000000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OUT-style" pivot="0" count="4" xr9:uid="{00000000-0011-0000-FFFF-FFFF09000000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NOV-style" pivot="0" count="4" xr9:uid="{00000000-0011-0000-FFFF-FFFF0A000000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DEZ-style" pivot="0" count="4" xr9:uid="{00000000-0011-0000-FFFF-FFFF0B000000}">
      <tableStyleElement type="wholeTable" size="0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1273143" cy="933639"/>
    <xdr:pic>
      <xdr:nvPicPr>
        <xdr:cNvPr id="4" name="image1.png">
          <a:extLst>
            <a:ext uri="{FF2B5EF4-FFF2-40B4-BE49-F238E27FC236}">
              <a16:creationId xmlns:a16="http://schemas.microsoft.com/office/drawing/2014/main" id="{812EE7F5-A5A6-4AC4-ADA7-42691F0760B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78936" y="0"/>
          <a:ext cx="1273143" cy="933639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26</xdr:row>
      <xdr:rowOff>0</xdr:rowOff>
    </xdr:from>
    <xdr:ext cx="1257300" cy="1000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30350" y="5200650"/>
          <a:ext cx="1257300" cy="100012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8667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ADCB0894-4A02-4AD6-AF17-4255524AA89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8667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1C62BCDB-3E83-45DE-AE11-625F01A716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8667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DDD0B554-4B65-4E31-A859-FD0CEA610F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8667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86BB9350-071B-47A2-986C-BF5138D0196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8667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91524066-E389-48A4-9CB7-41D1C357F6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8667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19B94C55-02F5-4CBF-BA7B-EDA2928393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8667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6308F08C-66D3-4BFD-92D9-8CABD8259D2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8667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C0BE56C2-D98C-4794-967E-E19F048FD4D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8667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2C5FB66A-4009-499D-9D0E-7AB05B7403B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8667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A5BF7F48-0A76-47D8-99AF-DCB1D03A1C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8667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239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D54C48CD-8F2A-4E76-8DAE-8F84CD5D7C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23950" cy="8667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E3E6D"/>
      </a:accent1>
      <a:accent2>
        <a:srgbClr val="FFE9EA"/>
      </a:accent2>
      <a:accent3>
        <a:srgbClr val="193044"/>
      </a:accent3>
      <a:accent4>
        <a:srgbClr val="DF365F"/>
      </a:accent4>
      <a:accent5>
        <a:srgbClr val="DEE4E9"/>
      </a:accent5>
      <a:accent6>
        <a:srgbClr val="FE517B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api.whatsapp.com/send/?phone=554731804931&amp;text=Ol%C3%A1%2C+gostaria+de+tirar+uma+d%C3%BAvida+sobre+a+Planilha+de+fluxo+caixa+do+site.&amp;type=phone_number&amp;app_absent=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3"/>
  <sheetViews>
    <sheetView tabSelected="1" zoomScale="101" workbookViewId="0">
      <selection activeCell="C4" sqref="C4:C11"/>
    </sheetView>
  </sheetViews>
  <sheetFormatPr defaultColWidth="12.5703125" defaultRowHeight="12.75"/>
  <cols>
    <col min="1" max="1" width="39.140625" style="27" bestFit="1" customWidth="1"/>
    <col min="2" max="2" width="49.28515625" style="27" bestFit="1" customWidth="1"/>
    <col min="3" max="3" width="34.140625" style="27" bestFit="1" customWidth="1"/>
    <col min="6" max="6" width="8.42578125" style="27" customWidth="1"/>
    <col min="7" max="7" width="20.5703125" style="27" customWidth="1"/>
    <col min="8" max="8" width="19.140625" customWidth="1"/>
    <col min="13" max="13" width="15.42578125" bestFit="1" customWidth="1"/>
  </cols>
  <sheetData>
    <row r="1" spans="1:18" s="38" customFormat="1" ht="73.5" customHeight="1">
      <c r="A1" s="63" t="s">
        <v>68</v>
      </c>
      <c r="B1" s="63"/>
      <c r="C1" s="63"/>
      <c r="D1" s="63"/>
      <c r="E1" s="63"/>
      <c r="F1" s="63"/>
      <c r="G1" s="37" t="s">
        <v>23</v>
      </c>
      <c r="H1" s="37"/>
      <c r="I1" s="37"/>
      <c r="J1" s="37"/>
      <c r="K1" s="37"/>
      <c r="L1" s="37"/>
      <c r="M1" s="37"/>
      <c r="N1" s="37"/>
    </row>
    <row r="2" spans="1:18" ht="22.5">
      <c r="A2" s="64" t="s">
        <v>69</v>
      </c>
      <c r="B2" s="64"/>
      <c r="C2" s="64"/>
      <c r="D2" s="64"/>
      <c r="E2" s="64"/>
      <c r="F2" s="64"/>
      <c r="H2" s="52" t="s">
        <v>70</v>
      </c>
      <c r="O2" s="1"/>
      <c r="P2" s="1"/>
      <c r="Q2" s="1"/>
      <c r="R2" s="1"/>
    </row>
    <row r="3" spans="1:18" ht="23.25">
      <c r="A3" s="39" t="s">
        <v>65</v>
      </c>
      <c r="B3" s="40" t="s">
        <v>66</v>
      </c>
      <c r="C3" s="41" t="s">
        <v>2</v>
      </c>
      <c r="D3" s="42"/>
      <c r="E3" s="42"/>
      <c r="F3" s="43"/>
      <c r="G3" s="44"/>
      <c r="H3" s="42"/>
      <c r="I3" s="42"/>
      <c r="J3" s="42"/>
      <c r="K3" s="38"/>
    </row>
    <row r="4" spans="1:18" ht="15.75">
      <c r="A4" s="45" t="s">
        <v>3</v>
      </c>
      <c r="B4" s="45" t="s">
        <v>4</v>
      </c>
      <c r="C4" s="42" t="s">
        <v>5</v>
      </c>
      <c r="D4" s="42"/>
      <c r="E4" s="42"/>
      <c r="F4" s="46"/>
      <c r="G4" s="44"/>
      <c r="H4" s="42"/>
      <c r="I4" s="42"/>
      <c r="J4" s="42"/>
      <c r="K4" s="38"/>
    </row>
    <row r="5" spans="1:18" ht="15">
      <c r="A5" s="45" t="s">
        <v>6</v>
      </c>
      <c r="B5" s="45" t="s">
        <v>7</v>
      </c>
      <c r="C5" s="42" t="s">
        <v>8</v>
      </c>
      <c r="D5" s="42"/>
      <c r="E5" s="42"/>
      <c r="F5" s="43"/>
      <c r="G5" s="47"/>
      <c r="H5" s="42"/>
      <c r="I5" s="42"/>
      <c r="J5" s="42"/>
      <c r="K5" s="38"/>
    </row>
    <row r="6" spans="1:18" ht="15">
      <c r="A6" s="45" t="s">
        <v>9</v>
      </c>
      <c r="B6" s="45" t="s">
        <v>10</v>
      </c>
      <c r="C6" s="42" t="s">
        <v>11</v>
      </c>
      <c r="D6" s="42"/>
      <c r="E6" s="42"/>
      <c r="F6" s="43"/>
      <c r="G6" s="47"/>
      <c r="H6" s="42"/>
      <c r="I6" s="42"/>
      <c r="J6" s="42"/>
      <c r="K6" s="38"/>
    </row>
    <row r="7" spans="1:18" ht="15">
      <c r="A7" s="45" t="s">
        <v>12</v>
      </c>
      <c r="B7" s="48" t="s">
        <v>13</v>
      </c>
      <c r="C7" s="42" t="s">
        <v>14</v>
      </c>
      <c r="D7" s="42"/>
      <c r="E7" s="42"/>
      <c r="F7" s="43"/>
      <c r="G7" s="47"/>
      <c r="H7" s="42"/>
      <c r="I7" s="42"/>
      <c r="J7" s="42"/>
      <c r="K7" s="38"/>
    </row>
    <row r="8" spans="1:18" ht="15">
      <c r="A8" s="45" t="s">
        <v>15</v>
      </c>
      <c r="B8" s="45" t="s">
        <v>16</v>
      </c>
      <c r="C8" s="42"/>
      <c r="D8" s="42"/>
      <c r="E8" s="42"/>
      <c r="F8" s="43"/>
      <c r="G8" s="47"/>
      <c r="H8" s="42"/>
      <c r="I8" s="42"/>
      <c r="J8" s="42"/>
      <c r="K8" s="38"/>
    </row>
    <row r="9" spans="1:18" ht="15">
      <c r="A9" s="45" t="s">
        <v>17</v>
      </c>
      <c r="B9" s="48"/>
      <c r="C9" s="49"/>
      <c r="D9" s="42"/>
      <c r="E9" s="42"/>
      <c r="F9" s="43"/>
      <c r="G9" s="47"/>
      <c r="H9" s="42"/>
      <c r="I9" s="42"/>
      <c r="J9" s="42"/>
      <c r="K9" s="38"/>
    </row>
    <row r="10" spans="1:18" ht="15">
      <c r="A10" s="45" t="s">
        <v>18</v>
      </c>
      <c r="B10" s="45"/>
      <c r="C10" s="42"/>
      <c r="D10" s="42"/>
      <c r="E10" s="42"/>
      <c r="F10" s="43"/>
      <c r="G10" s="47"/>
      <c r="H10" s="42"/>
      <c r="I10" s="42"/>
      <c r="J10" s="42"/>
      <c r="K10" s="38"/>
    </row>
    <row r="11" spans="1:18" ht="15">
      <c r="A11" s="45" t="s">
        <v>19</v>
      </c>
      <c r="B11" s="48"/>
      <c r="C11" s="42"/>
      <c r="D11" s="42"/>
      <c r="E11" s="42"/>
      <c r="F11" s="43"/>
      <c r="G11" s="47"/>
      <c r="H11" s="42"/>
      <c r="I11" s="42"/>
      <c r="J11" s="42"/>
      <c r="K11" s="38"/>
    </row>
    <row r="12" spans="1:18" ht="15">
      <c r="A12" s="45" t="s">
        <v>20</v>
      </c>
      <c r="B12" s="45"/>
      <c r="C12" s="42"/>
      <c r="D12" s="42"/>
      <c r="E12" s="42"/>
      <c r="F12" s="43"/>
      <c r="G12" s="47"/>
      <c r="H12" s="42"/>
      <c r="I12" s="42"/>
      <c r="J12" s="42"/>
      <c r="K12" s="38"/>
    </row>
    <row r="13" spans="1:18" ht="15">
      <c r="A13" s="45" t="s">
        <v>21</v>
      </c>
      <c r="B13" s="48"/>
      <c r="C13" s="42"/>
      <c r="D13" s="42"/>
      <c r="E13" s="42"/>
      <c r="F13" s="43"/>
      <c r="G13" s="47"/>
      <c r="H13" s="42"/>
      <c r="I13" s="42"/>
      <c r="J13" s="42"/>
      <c r="K13" s="38"/>
    </row>
    <row r="14" spans="1:18" ht="15">
      <c r="A14" s="45" t="s">
        <v>22</v>
      </c>
      <c r="B14" s="48"/>
      <c r="C14" s="42"/>
      <c r="D14" s="42"/>
      <c r="E14" s="42"/>
      <c r="F14" s="43"/>
      <c r="G14" s="53"/>
      <c r="H14" s="42"/>
      <c r="I14" s="42"/>
      <c r="J14" s="42"/>
      <c r="K14" s="38"/>
    </row>
    <row r="15" spans="1:18" ht="15">
      <c r="A15" s="45"/>
      <c r="B15" s="48"/>
      <c r="C15" s="42"/>
      <c r="D15" s="42"/>
      <c r="E15" s="42"/>
      <c r="F15" s="43"/>
      <c r="G15" s="47"/>
      <c r="H15" s="42"/>
      <c r="I15" s="42"/>
      <c r="J15" s="42"/>
      <c r="K15" s="38"/>
    </row>
    <row r="16" spans="1:18" ht="15">
      <c r="A16" s="45"/>
      <c r="B16" s="45"/>
      <c r="C16" s="42"/>
      <c r="D16" s="42"/>
      <c r="E16" s="42"/>
      <c r="F16" s="43"/>
      <c r="G16" s="47"/>
      <c r="H16" s="42"/>
      <c r="I16" s="42"/>
      <c r="J16" s="42"/>
      <c r="K16" s="38"/>
    </row>
    <row r="17" spans="1:14" ht="15">
      <c r="A17" s="45"/>
      <c r="B17" s="45"/>
      <c r="C17" s="42"/>
      <c r="D17" s="42"/>
      <c r="E17" s="42"/>
      <c r="F17" s="43"/>
      <c r="G17" s="47"/>
      <c r="H17" s="42"/>
      <c r="I17" s="42"/>
      <c r="J17" s="42"/>
      <c r="K17" s="38"/>
    </row>
    <row r="18" spans="1:14" ht="15">
      <c r="A18" s="45"/>
      <c r="B18" s="48"/>
      <c r="C18" s="42"/>
      <c r="D18" s="42"/>
      <c r="E18" s="42"/>
      <c r="F18" s="43"/>
      <c r="G18" s="47"/>
      <c r="H18" s="42"/>
      <c r="I18" s="42"/>
      <c r="J18" s="42"/>
      <c r="K18" s="38"/>
    </row>
    <row r="19" spans="1:14" ht="15">
      <c r="A19" s="45"/>
      <c r="B19" s="48"/>
      <c r="C19" s="42"/>
      <c r="D19" s="42"/>
      <c r="E19" s="42"/>
      <c r="F19" s="43"/>
      <c r="G19" s="47"/>
      <c r="H19" s="42"/>
      <c r="I19" s="42"/>
      <c r="J19" s="42"/>
      <c r="K19" s="38"/>
    </row>
    <row r="20" spans="1:14" ht="15">
      <c r="A20" s="45"/>
      <c r="B20" s="48"/>
      <c r="C20" s="42"/>
      <c r="D20" s="42"/>
      <c r="E20" s="42"/>
      <c r="F20" s="43"/>
      <c r="G20" s="47"/>
      <c r="H20" s="42"/>
      <c r="I20" s="42"/>
      <c r="J20" s="42"/>
      <c r="K20" s="38"/>
    </row>
    <row r="21" spans="1:14" ht="15">
      <c r="A21" s="45"/>
      <c r="B21" s="48"/>
      <c r="C21" s="42"/>
      <c r="D21" s="42"/>
      <c r="E21" s="42"/>
      <c r="F21" s="43"/>
      <c r="G21" s="47"/>
      <c r="H21" s="42"/>
      <c r="I21" s="42"/>
      <c r="J21" s="42"/>
      <c r="K21" s="38"/>
    </row>
    <row r="22" spans="1:14" ht="15">
      <c r="A22" s="45"/>
      <c r="B22" s="48"/>
      <c r="C22" s="42"/>
      <c r="D22" s="42"/>
      <c r="E22" s="42"/>
      <c r="F22" s="43"/>
      <c r="G22" s="47"/>
      <c r="H22" s="42"/>
      <c r="I22" s="42"/>
      <c r="J22" s="42"/>
      <c r="K22" s="38"/>
    </row>
    <row r="23" spans="1:14" ht="15">
      <c r="A23" s="45"/>
      <c r="B23" s="48"/>
      <c r="C23" s="42"/>
      <c r="D23" s="42"/>
      <c r="E23" s="42"/>
      <c r="F23" s="43"/>
      <c r="G23" s="47"/>
      <c r="H23" s="42"/>
      <c r="I23" s="42"/>
      <c r="J23" s="42"/>
      <c r="K23" s="38"/>
    </row>
    <row r="24" spans="1:14" ht="15">
      <c r="A24" s="45"/>
      <c r="B24" s="50"/>
      <c r="C24" s="46"/>
      <c r="D24" s="38"/>
      <c r="E24" s="38"/>
      <c r="F24" s="43"/>
      <c r="G24" s="46"/>
      <c r="H24" s="38"/>
      <c r="I24" s="38"/>
      <c r="J24" s="38"/>
      <c r="K24" s="38"/>
    </row>
    <row r="25" spans="1:14" ht="15">
      <c r="A25" s="45"/>
      <c r="B25" s="50"/>
      <c r="C25" s="46"/>
      <c r="D25" s="38"/>
      <c r="E25" s="38"/>
      <c r="F25" s="43"/>
      <c r="G25" s="46"/>
      <c r="H25" s="38"/>
      <c r="I25" s="38"/>
      <c r="J25" s="38"/>
      <c r="K25" s="38"/>
    </row>
    <row r="26" spans="1:14" ht="15.75">
      <c r="A26" s="51"/>
      <c r="B26" s="51"/>
      <c r="C26" s="46"/>
      <c r="D26" s="38"/>
      <c r="E26" s="38"/>
      <c r="F26" s="44"/>
      <c r="G26" s="46"/>
      <c r="H26" s="38"/>
      <c r="I26" s="38"/>
      <c r="J26" s="38"/>
      <c r="K26" s="38"/>
    </row>
    <row r="27" spans="1:14" ht="15.75">
      <c r="A27" s="51"/>
      <c r="B27" s="51"/>
      <c r="C27" s="46"/>
      <c r="D27" s="38"/>
      <c r="E27" s="38"/>
      <c r="F27" s="44"/>
      <c r="G27" s="46"/>
      <c r="H27" s="38"/>
      <c r="I27" s="38"/>
      <c r="J27" s="38"/>
      <c r="K27" s="38"/>
    </row>
    <row r="28" spans="1:14" ht="15.75">
      <c r="A28" s="51"/>
      <c r="B28" s="51"/>
      <c r="C28" s="46"/>
      <c r="D28" s="38"/>
      <c r="E28" s="38"/>
      <c r="F28" s="44"/>
      <c r="G28" s="46"/>
      <c r="H28" s="38"/>
      <c r="I28" s="38"/>
      <c r="J28" s="38"/>
      <c r="K28" s="38"/>
    </row>
    <row r="29" spans="1:14" ht="14.25">
      <c r="A29" s="51"/>
      <c r="B29" s="51"/>
      <c r="C29" s="46"/>
      <c r="D29" s="38"/>
      <c r="E29" s="38"/>
      <c r="F29" s="46"/>
      <c r="G29" s="46"/>
      <c r="H29" s="38"/>
      <c r="I29" s="38"/>
      <c r="J29" s="38"/>
      <c r="K29" s="38"/>
    </row>
    <row r="30" spans="1:14">
      <c r="A30" s="46"/>
      <c r="B30" s="46"/>
      <c r="C30" s="46"/>
      <c r="D30" s="38"/>
      <c r="E30" s="38"/>
      <c r="F30" s="46"/>
      <c r="G30" s="46"/>
      <c r="H30" s="38"/>
      <c r="I30" s="38"/>
      <c r="J30" s="38"/>
      <c r="K30" s="38"/>
      <c r="N30" s="61"/>
    </row>
    <row r="31" spans="1:14">
      <c r="A31" s="46"/>
      <c r="B31" s="46"/>
      <c r="C31" s="46"/>
      <c r="D31" s="38"/>
      <c r="E31" s="38"/>
      <c r="F31" s="46"/>
      <c r="G31" s="46"/>
      <c r="H31" s="38"/>
      <c r="I31" s="38"/>
      <c r="J31" s="38"/>
      <c r="K31" s="38"/>
      <c r="N31" s="62"/>
    </row>
    <row r="32" spans="1:14">
      <c r="A32" s="46"/>
      <c r="B32" s="46"/>
      <c r="C32" s="46"/>
      <c r="D32" s="38"/>
      <c r="E32" s="38"/>
      <c r="F32" s="46"/>
      <c r="G32" s="46"/>
      <c r="H32" s="38"/>
      <c r="I32" s="38"/>
      <c r="J32" s="38"/>
      <c r="K32" s="38"/>
      <c r="N32" s="62"/>
    </row>
    <row r="33" spans="13:14">
      <c r="M33" s="3"/>
      <c r="N33" s="62"/>
    </row>
  </sheetData>
  <mergeCells count="3">
    <mergeCell ref="N30:N33"/>
    <mergeCell ref="A1:F1"/>
    <mergeCell ref="A2:F2"/>
  </mergeCells>
  <hyperlinks>
    <hyperlink ref="A2" r:id="rId1" display="Whatsapp" xr:uid="{75379E02-5607-4B05-8E6B-C25B1E213D7E}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30"/>
  <sheetViews>
    <sheetView showGridLines="0" workbookViewId="0">
      <selection activeCell="N13" sqref="N13"/>
    </sheetView>
  </sheetViews>
  <sheetFormatPr defaultColWidth="12.5703125" defaultRowHeight="15.75" customHeight="1"/>
  <cols>
    <col min="1" max="1" width="20.140625" style="27" customWidth="1"/>
    <col min="2" max="2" width="15.5703125" style="27" customWidth="1"/>
    <col min="3" max="3" width="2.85546875" style="27" customWidth="1"/>
    <col min="4" max="4" width="20.140625" style="27" customWidth="1"/>
    <col min="5" max="5" width="15.5703125" style="27" customWidth="1"/>
    <col min="6" max="6" width="2.85546875" style="27" customWidth="1"/>
    <col min="7" max="7" width="20.140625" style="27" customWidth="1"/>
    <col min="8" max="8" width="15.5703125" style="27" customWidth="1"/>
    <col min="9" max="9" width="2.85546875" style="27" customWidth="1"/>
    <col min="10" max="10" width="20.140625" style="27" customWidth="1"/>
    <col min="11" max="11" width="15.5703125" style="27" customWidth="1"/>
    <col min="12" max="12" width="2.85546875" style="27" customWidth="1"/>
    <col min="13" max="13" width="20.140625" style="27" customWidth="1"/>
    <col min="14" max="14" width="15.5703125" style="27" customWidth="1"/>
    <col min="15" max="15" width="3.28515625" style="27" customWidth="1"/>
    <col min="16" max="16" width="20.140625" style="27" customWidth="1"/>
    <col min="17" max="17" width="15.5703125" style="27" customWidth="1"/>
    <col min="18" max="18" width="3.28515625" style="27" customWidth="1"/>
  </cols>
  <sheetData>
    <row r="1" spans="1:18" ht="15.75" customHeight="1">
      <c r="A1" s="65" t="s">
        <v>24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</row>
    <row r="2" spans="1:18" ht="14.25">
      <c r="A2" s="69" t="s">
        <v>25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  <row r="3" spans="1:18" ht="12.75">
      <c r="B3" s="4"/>
    </row>
    <row r="4" spans="1:18" ht="15.75" customHeight="1">
      <c r="A4" s="67" t="s">
        <v>26</v>
      </c>
      <c r="B4" s="68"/>
      <c r="C4" s="2"/>
      <c r="D4" s="67" t="s">
        <v>27</v>
      </c>
      <c r="E4" s="68"/>
      <c r="F4" s="5"/>
      <c r="G4" s="67" t="s">
        <v>28</v>
      </c>
      <c r="H4" s="68"/>
      <c r="I4" s="6"/>
      <c r="J4" s="67" t="s">
        <v>29</v>
      </c>
      <c r="K4" s="68"/>
      <c r="L4" s="2"/>
      <c r="M4" s="67" t="s">
        <v>30</v>
      </c>
      <c r="N4" s="68"/>
      <c r="O4" s="2"/>
      <c r="P4" s="67" t="s">
        <v>31</v>
      </c>
      <c r="Q4" s="68"/>
    </row>
    <row r="5" spans="1:18" ht="14.25">
      <c r="A5" s="7" t="s">
        <v>32</v>
      </c>
      <c r="B5" s="8">
        <f>JAN!H2</f>
        <v>10000</v>
      </c>
      <c r="C5" s="2"/>
      <c r="D5" s="7" t="s">
        <v>32</v>
      </c>
      <c r="E5" s="8">
        <f>B8</f>
        <v>9603.7800000000007</v>
      </c>
      <c r="F5" s="9"/>
      <c r="G5" s="7" t="s">
        <v>32</v>
      </c>
      <c r="H5" s="8">
        <f>E8</f>
        <v>9603.7800000000007</v>
      </c>
      <c r="J5" s="7" t="s">
        <v>32</v>
      </c>
      <c r="K5" s="8">
        <f>H8</f>
        <v>9603.7800000000007</v>
      </c>
      <c r="M5" s="7" t="s">
        <v>32</v>
      </c>
      <c r="N5" s="8">
        <f>K8</f>
        <v>9603.7800000000007</v>
      </c>
      <c r="P5" s="7" t="s">
        <v>32</v>
      </c>
      <c r="Q5" s="8">
        <f>N8</f>
        <v>9603.7800000000007</v>
      </c>
    </row>
    <row r="6" spans="1:18" ht="14.25">
      <c r="A6" s="7" t="s">
        <v>33</v>
      </c>
      <c r="B6" s="8">
        <f>SUMIF(JAN!A7:A207,"Receitas",JAN!E7:E207)</f>
        <v>26</v>
      </c>
      <c r="C6" s="2"/>
      <c r="D6" s="7" t="s">
        <v>33</v>
      </c>
      <c r="E6" s="8">
        <f>SUMIF(FEV!D7:D207,"Receitas",FEV!H7:H207)</f>
        <v>0</v>
      </c>
      <c r="F6" s="9"/>
      <c r="G6" s="7" t="s">
        <v>33</v>
      </c>
      <c r="H6" s="8">
        <f>SUMIF(MAR!G7:G207,"Receitas",MAR!K7:K207)</f>
        <v>0</v>
      </c>
      <c r="J6" s="7" t="s">
        <v>33</v>
      </c>
      <c r="K6" s="8">
        <f>SUMIF(ABR!J7:J207,"Receitas",ABR!N7:N207)</f>
        <v>0</v>
      </c>
      <c r="M6" s="7" t="s">
        <v>33</v>
      </c>
      <c r="N6" s="8">
        <f>SUMIF(MAI!M7:M207,"Receitas",MAI!Q7:Q207)</f>
        <v>0</v>
      </c>
      <c r="P6" s="7" t="s">
        <v>33</v>
      </c>
      <c r="Q6" s="8">
        <f>SUMIF(JUN!P7:P207,"Receitas",JUN!T7:T207)</f>
        <v>0</v>
      </c>
    </row>
    <row r="7" spans="1:18" ht="14.25">
      <c r="A7" s="7" t="s">
        <v>34</v>
      </c>
      <c r="B7" s="8">
        <f>SUMIF(JAN!A8:A208,"Despesas",JAN!E8:E208)</f>
        <v>422.22</v>
      </c>
      <c r="C7" s="2"/>
      <c r="D7" s="7" t="s">
        <v>34</v>
      </c>
      <c r="E7" s="8">
        <f>SUMIF(FEV!D8:D208,"Despesas",FEV!H8:H208)</f>
        <v>0</v>
      </c>
      <c r="F7" s="9"/>
      <c r="G7" s="7" t="s">
        <v>34</v>
      </c>
      <c r="H7" s="8">
        <f>SUMIF(MAR!G8:G208,"Despesas",MAR!K8:K208)</f>
        <v>0</v>
      </c>
      <c r="I7" s="2"/>
      <c r="J7" s="7" t="s">
        <v>34</v>
      </c>
      <c r="K7" s="8">
        <f>SUMIF(ABR!J8:J208,"Despesas",ABR!N8:N208)</f>
        <v>0</v>
      </c>
      <c r="L7" s="2"/>
      <c r="M7" s="7" t="s">
        <v>34</v>
      </c>
      <c r="N7" s="8">
        <f>SUMIF(MAI!M8:M208,"Despesas",MAI!Q8:Q208)</f>
        <v>0</v>
      </c>
      <c r="O7" s="2"/>
      <c r="P7" s="7" t="s">
        <v>34</v>
      </c>
      <c r="Q7" s="8">
        <f>SUMIF(JUN!P8:P208,"Despesas",JUN!T8:T208)</f>
        <v>0</v>
      </c>
    </row>
    <row r="8" spans="1:18" ht="14.25">
      <c r="A8" s="7" t="s">
        <v>35</v>
      </c>
      <c r="B8" s="8">
        <f>B5+B6-B7</f>
        <v>9603.7800000000007</v>
      </c>
      <c r="C8" s="2"/>
      <c r="D8" s="7" t="s">
        <v>35</v>
      </c>
      <c r="E8" s="8">
        <f>E5+E6+E7</f>
        <v>9603.7800000000007</v>
      </c>
      <c r="F8" s="10"/>
      <c r="G8" s="7" t="s">
        <v>35</v>
      </c>
      <c r="H8" s="8">
        <f>H5+H6+H7</f>
        <v>9603.7800000000007</v>
      </c>
      <c r="I8" s="2"/>
      <c r="J8" s="7" t="s">
        <v>35</v>
      </c>
      <c r="K8" s="8">
        <f>K5+K6+K7</f>
        <v>9603.7800000000007</v>
      </c>
      <c r="L8" s="2"/>
      <c r="M8" s="7" t="s">
        <v>35</v>
      </c>
      <c r="N8" s="8">
        <f>N5+N6+N7</f>
        <v>9603.7800000000007</v>
      </c>
      <c r="O8" s="2"/>
      <c r="P8" s="7" t="s">
        <v>35</v>
      </c>
      <c r="Q8" s="8">
        <f>Q5+Q6+Q7</f>
        <v>9603.7800000000007</v>
      </c>
    </row>
    <row r="9" spans="1:18" ht="14.25">
      <c r="A9" s="9"/>
      <c r="B9" s="10"/>
      <c r="C9" s="2"/>
      <c r="D9" s="2"/>
      <c r="E9" s="9"/>
      <c r="F9" s="10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8" ht="15.75" customHeight="1">
      <c r="A10" s="67" t="s">
        <v>36</v>
      </c>
      <c r="B10" s="68"/>
      <c r="C10" s="2"/>
      <c r="D10" s="67" t="s">
        <v>37</v>
      </c>
      <c r="E10" s="68"/>
      <c r="F10" s="10"/>
      <c r="G10" s="67" t="s">
        <v>38</v>
      </c>
      <c r="H10" s="68"/>
      <c r="I10" s="2"/>
      <c r="J10" s="67" t="s">
        <v>39</v>
      </c>
      <c r="K10" s="68"/>
      <c r="L10" s="2"/>
      <c r="M10" s="67" t="s">
        <v>40</v>
      </c>
      <c r="N10" s="68"/>
      <c r="O10" s="2"/>
      <c r="P10" s="67" t="s">
        <v>41</v>
      </c>
      <c r="Q10" s="68"/>
    </row>
    <row r="11" spans="1:18" ht="14.25">
      <c r="A11" s="7" t="s">
        <v>32</v>
      </c>
      <c r="B11" s="8">
        <f>Q8</f>
        <v>9603.7800000000007</v>
      </c>
      <c r="C11" s="2"/>
      <c r="D11" s="7" t="s">
        <v>32</v>
      </c>
      <c r="E11" s="8">
        <f>B14</f>
        <v>9603.7800000000007</v>
      </c>
      <c r="F11" s="10"/>
      <c r="G11" s="7" t="s">
        <v>32</v>
      </c>
      <c r="H11" s="8">
        <f>E14</f>
        <v>9603.7800000000007</v>
      </c>
      <c r="I11" s="2"/>
      <c r="J11" s="7" t="s">
        <v>32</v>
      </c>
      <c r="K11" s="8">
        <f>H14</f>
        <v>9603.7800000000007</v>
      </c>
      <c r="L11" s="2"/>
      <c r="M11" s="7" t="s">
        <v>32</v>
      </c>
      <c r="N11" s="8">
        <f>K14</f>
        <v>9603.7800000000007</v>
      </c>
      <c r="O11" s="2"/>
      <c r="P11" s="7" t="s">
        <v>32</v>
      </c>
      <c r="Q11" s="8">
        <f>N14</f>
        <v>9603.7800000000007</v>
      </c>
    </row>
    <row r="12" spans="1:18" ht="14.25">
      <c r="A12" s="7" t="s">
        <v>33</v>
      </c>
      <c r="B12" s="8">
        <f>SUMIF(JUL!A13:A213,"Receitas",JUL!E13:E213)</f>
        <v>0</v>
      </c>
      <c r="C12" s="2"/>
      <c r="D12" s="7" t="s">
        <v>33</v>
      </c>
      <c r="E12" s="8">
        <f>SUMIF(AGO!D13:D213,"Receitas",AGO!H13:H213)</f>
        <v>0</v>
      </c>
      <c r="F12" s="2"/>
      <c r="G12" s="7" t="s">
        <v>33</v>
      </c>
      <c r="H12" s="8">
        <f>SUMIF(SET!G13:G213,"Receitas",SET!K13:K213)</f>
        <v>0</v>
      </c>
      <c r="I12" s="2"/>
      <c r="J12" s="7" t="s">
        <v>33</v>
      </c>
      <c r="K12" s="8">
        <f>SUMIF(OUT!J13:J213,"Receitas",OUT!N13:N213)</f>
        <v>0</v>
      </c>
      <c r="L12" s="2"/>
      <c r="M12" s="7" t="s">
        <v>33</v>
      </c>
      <c r="N12" s="8">
        <f>SUMIF(NOV!M13:M213,"Receitas",NOV!Q13:Q213)</f>
        <v>0</v>
      </c>
      <c r="O12" s="2"/>
      <c r="P12" s="7" t="s">
        <v>33</v>
      </c>
      <c r="Q12" s="8">
        <f>SUMIF(DEZ!P13:P213,"Receitas",DEZ!T13:T213)</f>
        <v>0</v>
      </c>
    </row>
    <row r="13" spans="1:18" ht="14.25">
      <c r="A13" s="7" t="s">
        <v>34</v>
      </c>
      <c r="B13" s="8">
        <f>SUMIF(JUL!A14:A214,"Despesas",JUL!E14:E214)</f>
        <v>0</v>
      </c>
      <c r="D13" s="7" t="s">
        <v>34</v>
      </c>
      <c r="E13" s="8">
        <f>SUMIF(AGO!D14:D214,"Despesas",AGO!H14:H214)</f>
        <v>0</v>
      </c>
      <c r="G13" s="7" t="s">
        <v>34</v>
      </c>
      <c r="H13" s="8">
        <f>SUMIF(SET!G14:G214,"Despesas",SET!K14:K214)</f>
        <v>0</v>
      </c>
      <c r="J13" s="7" t="s">
        <v>34</v>
      </c>
      <c r="K13" s="8">
        <f>SUMIF(OUT!J14:J214,"Despesas",OUT!N14:N214)</f>
        <v>0</v>
      </c>
      <c r="M13" s="7" t="s">
        <v>34</v>
      </c>
      <c r="N13" s="8">
        <f>SUMIF(NOV!M14:M214,"Despesas",NOV!Q14:Q214)</f>
        <v>0</v>
      </c>
      <c r="P13" s="7" t="s">
        <v>34</v>
      </c>
      <c r="Q13" s="8">
        <f>SUMIF(DEZ!P14:P214,"Despesas",DEZ!T14:T214)</f>
        <v>0</v>
      </c>
    </row>
    <row r="14" spans="1:18" ht="14.25">
      <c r="A14" s="7" t="s">
        <v>35</v>
      </c>
      <c r="B14" s="8">
        <f>B11+B12+B13</f>
        <v>9603.7800000000007</v>
      </c>
      <c r="C14" s="2"/>
      <c r="D14" s="7" t="s">
        <v>35</v>
      </c>
      <c r="E14" s="8">
        <f>E11+E12+E13</f>
        <v>9603.7800000000007</v>
      </c>
      <c r="F14" s="2"/>
      <c r="G14" s="7" t="s">
        <v>35</v>
      </c>
      <c r="H14" s="8">
        <f>H11+H12+H13</f>
        <v>9603.7800000000007</v>
      </c>
      <c r="I14" s="2"/>
      <c r="J14" s="7" t="s">
        <v>35</v>
      </c>
      <c r="K14" s="8">
        <f>K11+K12+K13</f>
        <v>9603.7800000000007</v>
      </c>
      <c r="L14" s="2"/>
      <c r="M14" s="7" t="s">
        <v>35</v>
      </c>
      <c r="N14" s="8">
        <f>N11+N12+N13</f>
        <v>9603.7800000000007</v>
      </c>
      <c r="O14" s="2"/>
      <c r="P14" s="7" t="s">
        <v>35</v>
      </c>
      <c r="Q14" s="8">
        <f>Q11+Q12+Q13</f>
        <v>9603.7800000000007</v>
      </c>
    </row>
    <row r="15" spans="1:18" ht="14.25">
      <c r="A15" s="9"/>
      <c r="B15" s="9"/>
      <c r="C15" s="2"/>
      <c r="D15" s="11"/>
      <c r="E15" s="11"/>
      <c r="F15" s="2"/>
      <c r="G15" s="11"/>
      <c r="H15" s="11"/>
      <c r="I15" s="2"/>
      <c r="J15" s="9"/>
      <c r="K15" s="9"/>
      <c r="L15" s="2"/>
      <c r="M15" s="9"/>
      <c r="N15" s="9"/>
      <c r="O15" s="2"/>
      <c r="P15" s="9"/>
      <c r="Q15" s="9"/>
    </row>
    <row r="16" spans="1:18" ht="14.25">
      <c r="A16" s="9"/>
      <c r="B16" s="9"/>
      <c r="C16" s="2"/>
      <c r="D16" s="11"/>
      <c r="E16" s="11"/>
      <c r="F16" s="2"/>
      <c r="G16" s="11"/>
      <c r="H16" s="11"/>
      <c r="I16" s="2"/>
      <c r="J16" s="9"/>
      <c r="K16" s="9"/>
      <c r="L16" s="2"/>
      <c r="M16" s="9"/>
      <c r="N16" s="9"/>
      <c r="O16" s="2"/>
      <c r="P16" s="9"/>
      <c r="Q16" s="9"/>
    </row>
    <row r="17" spans="1:17" ht="14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27" spans="1:17" ht="12.75">
      <c r="Q27" s="61"/>
    </row>
    <row r="28" spans="1:17" ht="12.75">
      <c r="P28" s="3"/>
      <c r="Q28" s="66"/>
    </row>
    <row r="29" spans="1:17" ht="12.75">
      <c r="P29" s="3"/>
      <c r="Q29" s="66"/>
    </row>
    <row r="30" spans="1:17" ht="12.75">
      <c r="P30" s="3" t="s">
        <v>23</v>
      </c>
      <c r="Q30" s="66"/>
    </row>
  </sheetData>
  <mergeCells count="15">
    <mergeCell ref="A1:R1"/>
    <mergeCell ref="Q27:Q30"/>
    <mergeCell ref="M4:N4"/>
    <mergeCell ref="A2:R2"/>
    <mergeCell ref="G10:H10"/>
    <mergeCell ref="M10:N10"/>
    <mergeCell ref="A10:B10"/>
    <mergeCell ref="J10:K10"/>
    <mergeCell ref="P10:Q10"/>
    <mergeCell ref="D4:E4"/>
    <mergeCell ref="A4:B4"/>
    <mergeCell ref="G4:H4"/>
    <mergeCell ref="P4:Q4"/>
    <mergeCell ref="J4:K4"/>
    <mergeCell ref="D10:E1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07"/>
  <sheetViews>
    <sheetView showGridLines="0" workbookViewId="0">
      <selection activeCell="D8" sqref="D8"/>
    </sheetView>
  </sheetViews>
  <sheetFormatPr defaultColWidth="12.5703125" defaultRowHeight="15.75" customHeight="1"/>
  <cols>
    <col min="1" max="1" width="9.28515625" style="27" bestFit="1" customWidth="1"/>
    <col min="2" max="2" width="30.85546875" style="27" bestFit="1" customWidth="1"/>
    <col min="3" max="3" width="20.85546875" style="27" bestFit="1" customWidth="1"/>
    <col min="4" max="4" width="13.85546875" style="27" bestFit="1" customWidth="1"/>
    <col min="5" max="5" width="11.7109375" bestFit="1" customWidth="1"/>
    <col min="6" max="6" width="16.28515625" style="27" customWidth="1"/>
    <col min="7" max="7" width="11.7109375" style="27" hidden="1" customWidth="1"/>
    <col min="8" max="8" width="22.5703125" style="33" bestFit="1" customWidth="1"/>
    <col min="9" max="10" width="12.5703125" style="27" hidden="1" customWidth="1"/>
  </cols>
  <sheetData>
    <row r="1" spans="1:8" ht="19.5" customHeight="1">
      <c r="A1" s="70"/>
      <c r="B1" s="13"/>
      <c r="C1" s="71" t="s">
        <v>42</v>
      </c>
      <c r="D1" s="66"/>
      <c r="E1" s="62"/>
      <c r="F1" s="73" t="s">
        <v>44</v>
      </c>
      <c r="G1" s="14"/>
      <c r="H1" s="35" t="s">
        <v>43</v>
      </c>
    </row>
    <row r="2" spans="1:8" ht="12.75" customHeight="1">
      <c r="A2" s="66"/>
      <c r="B2" s="15"/>
      <c r="C2" s="66"/>
      <c r="D2" s="66"/>
      <c r="E2" s="62"/>
      <c r="F2" s="73"/>
      <c r="G2" s="14"/>
      <c r="H2" s="72">
        <v>10000</v>
      </c>
    </row>
    <row r="3" spans="1:8" ht="23.25" customHeight="1">
      <c r="A3" s="66"/>
      <c r="B3" s="12"/>
      <c r="C3" s="66"/>
      <c r="D3" s="66"/>
      <c r="E3" s="62"/>
      <c r="F3" s="73"/>
      <c r="G3" s="14"/>
      <c r="H3" s="72"/>
    </row>
    <row r="4" spans="1:8" ht="12.75">
      <c r="A4" s="66"/>
      <c r="B4" s="13"/>
      <c r="C4" s="16"/>
      <c r="D4" s="16"/>
      <c r="E4" s="16"/>
      <c r="F4" s="14"/>
      <c r="G4" s="14"/>
      <c r="H4" s="31"/>
    </row>
    <row r="5" spans="1:8" ht="22.5" customHeight="1">
      <c r="A5" s="28" t="s">
        <v>45</v>
      </c>
      <c r="B5" s="29" t="s">
        <v>46</v>
      </c>
      <c r="C5" s="30" t="s">
        <v>47</v>
      </c>
      <c r="D5" s="29" t="s">
        <v>48</v>
      </c>
      <c r="E5" s="36" t="s">
        <v>49</v>
      </c>
      <c r="F5" s="29" t="s">
        <v>50</v>
      </c>
      <c r="G5" s="32" t="s">
        <v>67</v>
      </c>
      <c r="H5" s="36" t="s">
        <v>51</v>
      </c>
    </row>
    <row r="6" spans="1:8" ht="22.5" customHeight="1">
      <c r="A6" s="26"/>
      <c r="B6" s="26"/>
      <c r="C6" s="26"/>
      <c r="D6" s="26" t="s">
        <v>52</v>
      </c>
      <c r="E6" s="17">
        <f>H2</f>
        <v>10000</v>
      </c>
      <c r="F6" s="18">
        <v>45657</v>
      </c>
      <c r="G6" s="55">
        <f>E6</f>
        <v>10000</v>
      </c>
      <c r="H6" s="56">
        <f>E6</f>
        <v>10000</v>
      </c>
    </row>
    <row r="7" spans="1:8" ht="22.5" customHeight="1">
      <c r="A7" s="34" t="s">
        <v>1</v>
      </c>
      <c r="B7" s="34" t="s">
        <v>4</v>
      </c>
      <c r="C7" s="21" t="s">
        <v>5</v>
      </c>
      <c r="D7" s="22" t="s">
        <v>53</v>
      </c>
      <c r="E7" s="22">
        <v>26</v>
      </c>
      <c r="F7" s="19">
        <v>45658</v>
      </c>
      <c r="G7" s="57">
        <f t="shared" ref="G7:G38" si="0">IF(A7="Despesas",E7*-1,IF(A7="Receitas",E7,0))</f>
        <v>26</v>
      </c>
      <c r="H7" s="58">
        <f t="shared" ref="H7:H38" si="1">H6+G7</f>
        <v>10026</v>
      </c>
    </row>
    <row r="8" spans="1:8" ht="22.5" customHeight="1">
      <c r="A8" s="34" t="s">
        <v>0</v>
      </c>
      <c r="B8" s="34" t="s">
        <v>21</v>
      </c>
      <c r="C8" s="21" t="s">
        <v>8</v>
      </c>
      <c r="D8" s="22" t="s">
        <v>53</v>
      </c>
      <c r="E8" s="22">
        <v>422.22</v>
      </c>
      <c r="F8" s="20">
        <v>45659</v>
      </c>
      <c r="G8" s="57">
        <f t="shared" si="0"/>
        <v>-422.22</v>
      </c>
      <c r="H8" s="58">
        <f t="shared" si="1"/>
        <v>9603.7800000000007</v>
      </c>
    </row>
    <row r="9" spans="1:8" ht="22.5" customHeight="1">
      <c r="A9" s="21"/>
      <c r="B9" s="34"/>
      <c r="C9" s="21"/>
      <c r="D9" s="22"/>
      <c r="E9" s="22"/>
      <c r="F9" s="19"/>
      <c r="G9" s="57">
        <f t="shared" si="0"/>
        <v>0</v>
      </c>
      <c r="H9" s="58">
        <f t="shared" si="1"/>
        <v>9603.7800000000007</v>
      </c>
    </row>
    <row r="10" spans="1:8" ht="22.5" customHeight="1">
      <c r="A10" s="21"/>
      <c r="B10" s="34"/>
      <c r="C10" s="21"/>
      <c r="D10" s="22"/>
      <c r="E10" s="22"/>
      <c r="F10" s="20"/>
      <c r="G10" s="57">
        <f t="shared" si="0"/>
        <v>0</v>
      </c>
      <c r="H10" s="58">
        <f t="shared" si="1"/>
        <v>9603.7800000000007</v>
      </c>
    </row>
    <row r="11" spans="1:8" ht="22.5" customHeight="1">
      <c r="A11" s="21"/>
      <c r="B11" s="34"/>
      <c r="C11" s="21"/>
      <c r="D11" s="22"/>
      <c r="E11" s="22"/>
      <c r="F11" s="19"/>
      <c r="G11" s="57">
        <f t="shared" si="0"/>
        <v>0</v>
      </c>
      <c r="H11" s="58">
        <f t="shared" si="1"/>
        <v>9603.7800000000007</v>
      </c>
    </row>
    <row r="12" spans="1:8" ht="22.5" customHeight="1">
      <c r="A12" s="21"/>
      <c r="B12" s="34"/>
      <c r="C12" s="21"/>
      <c r="D12" s="22"/>
      <c r="E12" s="22"/>
      <c r="F12" s="20"/>
      <c r="G12" s="57">
        <f t="shared" si="0"/>
        <v>0</v>
      </c>
      <c r="H12" s="58">
        <f t="shared" si="1"/>
        <v>9603.7800000000007</v>
      </c>
    </row>
    <row r="13" spans="1:8" ht="22.5" customHeight="1">
      <c r="A13" s="21"/>
      <c r="B13" s="34"/>
      <c r="C13" s="21"/>
      <c r="D13" s="22"/>
      <c r="E13" s="22"/>
      <c r="F13" s="19"/>
      <c r="G13" s="57">
        <f t="shared" si="0"/>
        <v>0</v>
      </c>
      <c r="H13" s="58">
        <f t="shared" si="1"/>
        <v>9603.7800000000007</v>
      </c>
    </row>
    <row r="14" spans="1:8" ht="22.5" customHeight="1">
      <c r="A14" s="21"/>
      <c r="B14" s="34"/>
      <c r="C14" s="21"/>
      <c r="D14" s="22"/>
      <c r="E14" s="22"/>
      <c r="F14" s="20"/>
      <c r="G14" s="57">
        <f t="shared" si="0"/>
        <v>0</v>
      </c>
      <c r="H14" s="58">
        <f t="shared" si="1"/>
        <v>9603.7800000000007</v>
      </c>
    </row>
    <row r="15" spans="1:8" ht="22.5" customHeight="1">
      <c r="A15" s="21"/>
      <c r="B15" s="34"/>
      <c r="C15" s="21"/>
      <c r="D15" s="22"/>
      <c r="E15" s="22"/>
      <c r="F15" s="19"/>
      <c r="G15" s="57">
        <f t="shared" si="0"/>
        <v>0</v>
      </c>
      <c r="H15" s="58">
        <f t="shared" si="1"/>
        <v>9603.7800000000007</v>
      </c>
    </row>
    <row r="16" spans="1:8" ht="22.5" customHeight="1">
      <c r="A16" s="21"/>
      <c r="B16" s="34"/>
      <c r="C16" s="21"/>
      <c r="D16" s="22"/>
      <c r="E16" s="22"/>
      <c r="F16" s="20"/>
      <c r="G16" s="57">
        <f t="shared" si="0"/>
        <v>0</v>
      </c>
      <c r="H16" s="58">
        <f t="shared" si="1"/>
        <v>9603.7800000000007</v>
      </c>
    </row>
    <row r="17" spans="1:8" ht="22.5" customHeight="1">
      <c r="A17" s="21"/>
      <c r="B17" s="34"/>
      <c r="C17" s="21"/>
      <c r="D17" s="22"/>
      <c r="E17" s="22"/>
      <c r="F17" s="19"/>
      <c r="G17" s="57">
        <f t="shared" si="0"/>
        <v>0</v>
      </c>
      <c r="H17" s="58">
        <f t="shared" si="1"/>
        <v>9603.7800000000007</v>
      </c>
    </row>
    <row r="18" spans="1:8" ht="22.5" customHeight="1">
      <c r="A18" s="21"/>
      <c r="B18" s="34"/>
      <c r="C18" s="21"/>
      <c r="D18" s="22"/>
      <c r="E18" s="22"/>
      <c r="F18" s="20"/>
      <c r="G18" s="57">
        <f t="shared" si="0"/>
        <v>0</v>
      </c>
      <c r="H18" s="58">
        <f t="shared" si="1"/>
        <v>9603.7800000000007</v>
      </c>
    </row>
    <row r="19" spans="1:8" ht="22.5" customHeight="1">
      <c r="A19" s="21"/>
      <c r="B19" s="34"/>
      <c r="C19" s="21"/>
      <c r="D19" s="22"/>
      <c r="E19" s="22"/>
      <c r="F19" s="19"/>
      <c r="G19" s="57">
        <f t="shared" si="0"/>
        <v>0</v>
      </c>
      <c r="H19" s="58">
        <f t="shared" si="1"/>
        <v>9603.7800000000007</v>
      </c>
    </row>
    <row r="20" spans="1:8" ht="22.5" customHeight="1">
      <c r="A20" s="21"/>
      <c r="B20" s="34"/>
      <c r="C20" s="21"/>
      <c r="D20" s="22"/>
      <c r="E20" s="22"/>
      <c r="F20" s="20"/>
      <c r="G20" s="57">
        <f t="shared" si="0"/>
        <v>0</v>
      </c>
      <c r="H20" s="58">
        <f t="shared" si="1"/>
        <v>9603.7800000000007</v>
      </c>
    </row>
    <row r="21" spans="1:8" ht="22.5" customHeight="1">
      <c r="A21" s="21"/>
      <c r="B21" s="34"/>
      <c r="C21" s="21"/>
      <c r="D21" s="22"/>
      <c r="E21" s="22"/>
      <c r="F21" s="19"/>
      <c r="G21" s="57">
        <f t="shared" si="0"/>
        <v>0</v>
      </c>
      <c r="H21" s="58">
        <f t="shared" si="1"/>
        <v>9603.7800000000007</v>
      </c>
    </row>
    <row r="22" spans="1:8" ht="22.5" customHeight="1">
      <c r="A22" s="21"/>
      <c r="B22" s="34"/>
      <c r="C22" s="21"/>
      <c r="D22" s="22"/>
      <c r="E22" s="22"/>
      <c r="F22" s="20"/>
      <c r="G22" s="57">
        <f t="shared" si="0"/>
        <v>0</v>
      </c>
      <c r="H22" s="58">
        <f t="shared" si="1"/>
        <v>9603.7800000000007</v>
      </c>
    </row>
    <row r="23" spans="1:8" ht="22.5" customHeight="1">
      <c r="A23" s="21"/>
      <c r="B23" s="34"/>
      <c r="C23" s="21"/>
      <c r="D23" s="22"/>
      <c r="E23" s="22"/>
      <c r="F23" s="19"/>
      <c r="G23" s="57">
        <f t="shared" si="0"/>
        <v>0</v>
      </c>
      <c r="H23" s="58">
        <f t="shared" si="1"/>
        <v>9603.7800000000007</v>
      </c>
    </row>
    <row r="24" spans="1:8" ht="22.5" customHeight="1">
      <c r="A24" s="21"/>
      <c r="B24" s="34"/>
      <c r="C24" s="21"/>
      <c r="D24" s="22"/>
      <c r="E24" s="22"/>
      <c r="F24" s="20"/>
      <c r="G24" s="57">
        <f t="shared" si="0"/>
        <v>0</v>
      </c>
      <c r="H24" s="58">
        <f t="shared" si="1"/>
        <v>9603.7800000000007</v>
      </c>
    </row>
    <row r="25" spans="1:8" ht="22.5" customHeight="1">
      <c r="A25" s="21"/>
      <c r="B25" s="34"/>
      <c r="C25" s="21"/>
      <c r="D25" s="22"/>
      <c r="E25" s="22"/>
      <c r="F25" s="19"/>
      <c r="G25" s="57">
        <f t="shared" si="0"/>
        <v>0</v>
      </c>
      <c r="H25" s="58">
        <f t="shared" si="1"/>
        <v>9603.7800000000007</v>
      </c>
    </row>
    <row r="26" spans="1:8" ht="22.5" customHeight="1">
      <c r="A26" s="21"/>
      <c r="B26" s="34"/>
      <c r="C26" s="21"/>
      <c r="D26" s="22"/>
      <c r="E26" s="22"/>
      <c r="F26" s="20"/>
      <c r="G26" s="57">
        <f t="shared" si="0"/>
        <v>0</v>
      </c>
      <c r="H26" s="58">
        <f t="shared" si="1"/>
        <v>9603.7800000000007</v>
      </c>
    </row>
    <row r="27" spans="1:8" ht="22.5" customHeight="1">
      <c r="A27" s="21"/>
      <c r="B27" s="34"/>
      <c r="C27" s="21"/>
      <c r="D27" s="22"/>
      <c r="E27" s="22"/>
      <c r="F27" s="19"/>
      <c r="G27" s="57">
        <f t="shared" si="0"/>
        <v>0</v>
      </c>
      <c r="H27" s="58">
        <f t="shared" si="1"/>
        <v>9603.7800000000007</v>
      </c>
    </row>
    <row r="28" spans="1:8" ht="22.5" customHeight="1">
      <c r="A28" s="21"/>
      <c r="B28" s="34"/>
      <c r="C28" s="21"/>
      <c r="D28" s="22"/>
      <c r="E28" s="22"/>
      <c r="F28" s="20"/>
      <c r="G28" s="57">
        <f t="shared" si="0"/>
        <v>0</v>
      </c>
      <c r="H28" s="58">
        <f t="shared" si="1"/>
        <v>9603.7800000000007</v>
      </c>
    </row>
    <row r="29" spans="1:8" ht="22.5" customHeight="1">
      <c r="A29" s="21"/>
      <c r="B29" s="34"/>
      <c r="C29" s="21"/>
      <c r="D29" s="22"/>
      <c r="E29" s="22"/>
      <c r="F29" s="19"/>
      <c r="G29" s="57">
        <f t="shared" si="0"/>
        <v>0</v>
      </c>
      <c r="H29" s="58">
        <f t="shared" si="1"/>
        <v>9603.7800000000007</v>
      </c>
    </row>
    <row r="30" spans="1:8" ht="22.5" customHeight="1">
      <c r="A30" s="21"/>
      <c r="B30" s="34"/>
      <c r="C30" s="21"/>
      <c r="D30" s="22"/>
      <c r="E30" s="22"/>
      <c r="F30" s="20"/>
      <c r="G30" s="57">
        <f t="shared" si="0"/>
        <v>0</v>
      </c>
      <c r="H30" s="58">
        <f t="shared" si="1"/>
        <v>9603.7800000000007</v>
      </c>
    </row>
    <row r="31" spans="1:8" ht="22.5" customHeight="1">
      <c r="A31" s="21"/>
      <c r="B31" s="34"/>
      <c r="C31" s="21"/>
      <c r="D31" s="22"/>
      <c r="E31" s="22"/>
      <c r="F31" s="19"/>
      <c r="G31" s="57">
        <f t="shared" si="0"/>
        <v>0</v>
      </c>
      <c r="H31" s="58">
        <f t="shared" si="1"/>
        <v>9603.7800000000007</v>
      </c>
    </row>
    <row r="32" spans="1:8" ht="22.5" customHeight="1">
      <c r="A32" s="21"/>
      <c r="B32" s="34"/>
      <c r="C32" s="21"/>
      <c r="D32" s="22"/>
      <c r="E32" s="22"/>
      <c r="F32" s="20"/>
      <c r="G32" s="57">
        <f t="shared" si="0"/>
        <v>0</v>
      </c>
      <c r="H32" s="58">
        <f t="shared" si="1"/>
        <v>9603.7800000000007</v>
      </c>
    </row>
    <row r="33" spans="1:8" ht="22.5" customHeight="1">
      <c r="A33" s="21"/>
      <c r="B33" s="34"/>
      <c r="C33" s="21"/>
      <c r="D33" s="22"/>
      <c r="E33" s="22"/>
      <c r="F33" s="19"/>
      <c r="G33" s="57">
        <f t="shared" si="0"/>
        <v>0</v>
      </c>
      <c r="H33" s="58">
        <f t="shared" si="1"/>
        <v>9603.7800000000007</v>
      </c>
    </row>
    <row r="34" spans="1:8" ht="22.5" customHeight="1">
      <c r="A34" s="23"/>
      <c r="B34" s="34"/>
      <c r="C34" s="21"/>
      <c r="D34" s="24"/>
      <c r="E34" s="24"/>
      <c r="F34" s="20"/>
      <c r="G34" s="57">
        <f t="shared" si="0"/>
        <v>0</v>
      </c>
      <c r="H34" s="58">
        <f t="shared" si="1"/>
        <v>9603.7800000000007</v>
      </c>
    </row>
    <row r="35" spans="1:8" ht="22.5" customHeight="1">
      <c r="A35" s="23"/>
      <c r="B35" s="34"/>
      <c r="C35" s="21"/>
      <c r="D35" s="24"/>
      <c r="E35" s="24"/>
      <c r="F35" s="19"/>
      <c r="G35" s="57">
        <f t="shared" si="0"/>
        <v>0</v>
      </c>
      <c r="H35" s="58">
        <f t="shared" si="1"/>
        <v>9603.7800000000007</v>
      </c>
    </row>
    <row r="36" spans="1:8" ht="22.5" customHeight="1">
      <c r="A36" s="23"/>
      <c r="B36" s="34"/>
      <c r="C36" s="21"/>
      <c r="D36" s="24"/>
      <c r="E36" s="24"/>
      <c r="F36" s="20"/>
      <c r="G36" s="57">
        <f t="shared" si="0"/>
        <v>0</v>
      </c>
      <c r="H36" s="58">
        <f t="shared" si="1"/>
        <v>9603.7800000000007</v>
      </c>
    </row>
    <row r="37" spans="1:8" ht="22.5" customHeight="1">
      <c r="A37" s="23"/>
      <c r="B37" s="34"/>
      <c r="C37" s="21"/>
      <c r="D37" s="24"/>
      <c r="E37" s="24"/>
      <c r="F37" s="19"/>
      <c r="G37" s="57">
        <f t="shared" si="0"/>
        <v>0</v>
      </c>
      <c r="H37" s="58">
        <f t="shared" si="1"/>
        <v>9603.7800000000007</v>
      </c>
    </row>
    <row r="38" spans="1:8" ht="22.5" customHeight="1">
      <c r="A38" s="23"/>
      <c r="B38" s="34"/>
      <c r="C38" s="21"/>
      <c r="D38" s="24"/>
      <c r="E38" s="24"/>
      <c r="F38" s="25"/>
      <c r="G38" s="57">
        <f t="shared" si="0"/>
        <v>0</v>
      </c>
      <c r="H38" s="58">
        <f t="shared" si="1"/>
        <v>9603.7800000000007</v>
      </c>
    </row>
    <row r="39" spans="1:8" ht="22.5" customHeight="1">
      <c r="A39" s="23"/>
      <c r="B39" s="34"/>
      <c r="C39" s="21"/>
      <c r="D39" s="24"/>
      <c r="E39" s="24"/>
      <c r="F39" s="25"/>
      <c r="G39" s="57">
        <f t="shared" ref="G39:G70" si="2">IF(A39="Despesas",E39*-1,IF(A39="Receitas",E39,0))</f>
        <v>0</v>
      </c>
      <c r="H39" s="58">
        <f t="shared" ref="H39:H70" si="3">H38+G39</f>
        <v>9603.7800000000007</v>
      </c>
    </row>
    <row r="40" spans="1:8" ht="22.5" customHeight="1">
      <c r="A40" s="23"/>
      <c r="B40" s="34"/>
      <c r="C40" s="21"/>
      <c r="D40" s="24"/>
      <c r="E40" s="24"/>
      <c r="F40" s="25"/>
      <c r="G40" s="57">
        <f t="shared" si="2"/>
        <v>0</v>
      </c>
      <c r="H40" s="58">
        <f t="shared" si="3"/>
        <v>9603.7800000000007</v>
      </c>
    </row>
    <row r="41" spans="1:8" ht="22.5" customHeight="1">
      <c r="A41" s="23"/>
      <c r="B41" s="34"/>
      <c r="C41" s="21"/>
      <c r="D41" s="24"/>
      <c r="E41" s="24"/>
      <c r="F41" s="25"/>
      <c r="G41" s="57">
        <f t="shared" si="2"/>
        <v>0</v>
      </c>
      <c r="H41" s="58">
        <f t="shared" si="3"/>
        <v>9603.7800000000007</v>
      </c>
    </row>
    <row r="42" spans="1:8" ht="22.5" customHeight="1">
      <c r="A42" s="23"/>
      <c r="B42" s="34"/>
      <c r="C42" s="21"/>
      <c r="D42" s="24"/>
      <c r="E42" s="24"/>
      <c r="F42" s="25"/>
      <c r="G42" s="57">
        <f t="shared" si="2"/>
        <v>0</v>
      </c>
      <c r="H42" s="58">
        <f t="shared" si="3"/>
        <v>9603.7800000000007</v>
      </c>
    </row>
    <row r="43" spans="1:8" ht="22.5" customHeight="1">
      <c r="A43" s="23"/>
      <c r="B43" s="34"/>
      <c r="C43" s="21"/>
      <c r="D43" s="24"/>
      <c r="E43" s="24"/>
      <c r="F43" s="25"/>
      <c r="G43" s="57">
        <f t="shared" si="2"/>
        <v>0</v>
      </c>
      <c r="H43" s="58">
        <f t="shared" si="3"/>
        <v>9603.7800000000007</v>
      </c>
    </row>
    <row r="44" spans="1:8" ht="22.5" customHeight="1">
      <c r="A44" s="23"/>
      <c r="B44" s="34"/>
      <c r="C44" s="21"/>
      <c r="D44" s="24"/>
      <c r="E44" s="24"/>
      <c r="F44" s="25"/>
      <c r="G44" s="57">
        <f t="shared" si="2"/>
        <v>0</v>
      </c>
      <c r="H44" s="58">
        <f t="shared" si="3"/>
        <v>9603.7800000000007</v>
      </c>
    </row>
    <row r="45" spans="1:8" ht="22.5" customHeight="1">
      <c r="A45" s="23"/>
      <c r="B45" s="34"/>
      <c r="C45" s="21"/>
      <c r="D45" s="24"/>
      <c r="E45" s="24"/>
      <c r="F45" s="25"/>
      <c r="G45" s="57">
        <f t="shared" si="2"/>
        <v>0</v>
      </c>
      <c r="H45" s="58">
        <f t="shared" si="3"/>
        <v>9603.7800000000007</v>
      </c>
    </row>
    <row r="46" spans="1:8" ht="22.5" customHeight="1">
      <c r="A46" s="23"/>
      <c r="B46" s="34"/>
      <c r="C46" s="21"/>
      <c r="D46" s="24"/>
      <c r="E46" s="24"/>
      <c r="F46" s="25"/>
      <c r="G46" s="57">
        <f t="shared" si="2"/>
        <v>0</v>
      </c>
      <c r="H46" s="58">
        <f t="shared" si="3"/>
        <v>9603.7800000000007</v>
      </c>
    </row>
    <row r="47" spans="1:8" ht="22.5" customHeight="1">
      <c r="A47" s="23"/>
      <c r="B47" s="34"/>
      <c r="C47" s="21"/>
      <c r="D47" s="24"/>
      <c r="E47" s="24"/>
      <c r="F47" s="25"/>
      <c r="G47" s="57">
        <f t="shared" si="2"/>
        <v>0</v>
      </c>
      <c r="H47" s="58">
        <f t="shared" si="3"/>
        <v>9603.7800000000007</v>
      </c>
    </row>
    <row r="48" spans="1:8" ht="22.5" customHeight="1">
      <c r="A48" s="23"/>
      <c r="B48" s="34"/>
      <c r="C48" s="21"/>
      <c r="D48" s="24"/>
      <c r="E48" s="24"/>
      <c r="F48" s="25"/>
      <c r="G48" s="57">
        <f t="shared" si="2"/>
        <v>0</v>
      </c>
      <c r="H48" s="58">
        <f t="shared" si="3"/>
        <v>9603.7800000000007</v>
      </c>
    </row>
    <row r="49" spans="1:8" ht="22.5" customHeight="1">
      <c r="A49" s="23"/>
      <c r="B49" s="34"/>
      <c r="C49" s="21"/>
      <c r="D49" s="24"/>
      <c r="E49" s="24"/>
      <c r="F49" s="25"/>
      <c r="G49" s="57">
        <f t="shared" si="2"/>
        <v>0</v>
      </c>
      <c r="H49" s="58">
        <f t="shared" si="3"/>
        <v>9603.7800000000007</v>
      </c>
    </row>
    <row r="50" spans="1:8" ht="22.5" customHeight="1">
      <c r="A50" s="23"/>
      <c r="B50" s="34"/>
      <c r="C50" s="21"/>
      <c r="D50" s="24"/>
      <c r="E50" s="24"/>
      <c r="F50" s="25"/>
      <c r="G50" s="57">
        <f t="shared" si="2"/>
        <v>0</v>
      </c>
      <c r="H50" s="58">
        <f t="shared" si="3"/>
        <v>9603.7800000000007</v>
      </c>
    </row>
    <row r="51" spans="1:8" ht="22.5" customHeight="1">
      <c r="A51" s="23"/>
      <c r="B51" s="34"/>
      <c r="C51" s="21"/>
      <c r="D51" s="24"/>
      <c r="E51" s="24"/>
      <c r="F51" s="25"/>
      <c r="G51" s="57">
        <f t="shared" si="2"/>
        <v>0</v>
      </c>
      <c r="H51" s="58">
        <f t="shared" si="3"/>
        <v>9603.7800000000007</v>
      </c>
    </row>
    <row r="52" spans="1:8" ht="22.5" customHeight="1">
      <c r="A52" s="23"/>
      <c r="B52" s="34"/>
      <c r="C52" s="21"/>
      <c r="D52" s="24"/>
      <c r="E52" s="24"/>
      <c r="F52" s="25"/>
      <c r="G52" s="57">
        <f t="shared" si="2"/>
        <v>0</v>
      </c>
      <c r="H52" s="58">
        <f t="shared" si="3"/>
        <v>9603.7800000000007</v>
      </c>
    </row>
    <row r="53" spans="1:8" ht="22.5" customHeight="1">
      <c r="A53" s="23"/>
      <c r="B53" s="34"/>
      <c r="C53" s="21"/>
      <c r="D53" s="24"/>
      <c r="E53" s="24"/>
      <c r="F53" s="25"/>
      <c r="G53" s="57">
        <f t="shared" si="2"/>
        <v>0</v>
      </c>
      <c r="H53" s="58">
        <f t="shared" si="3"/>
        <v>9603.7800000000007</v>
      </c>
    </row>
    <row r="54" spans="1:8" ht="22.5" customHeight="1">
      <c r="A54" s="23"/>
      <c r="B54" s="34"/>
      <c r="C54" s="21"/>
      <c r="D54" s="24"/>
      <c r="E54" s="24"/>
      <c r="F54" s="25"/>
      <c r="G54" s="57">
        <f t="shared" si="2"/>
        <v>0</v>
      </c>
      <c r="H54" s="58">
        <f t="shared" si="3"/>
        <v>9603.7800000000007</v>
      </c>
    </row>
    <row r="55" spans="1:8" ht="22.5" customHeight="1">
      <c r="A55" s="23"/>
      <c r="B55" s="34"/>
      <c r="C55" s="21"/>
      <c r="D55" s="24"/>
      <c r="E55" s="24"/>
      <c r="F55" s="25"/>
      <c r="G55" s="57">
        <f t="shared" si="2"/>
        <v>0</v>
      </c>
      <c r="H55" s="58">
        <f t="shared" si="3"/>
        <v>9603.7800000000007</v>
      </c>
    </row>
    <row r="56" spans="1:8" ht="22.5" customHeight="1">
      <c r="A56" s="23"/>
      <c r="B56" s="34"/>
      <c r="C56" s="21"/>
      <c r="D56" s="24"/>
      <c r="E56" s="24"/>
      <c r="F56" s="25"/>
      <c r="G56" s="57">
        <f t="shared" si="2"/>
        <v>0</v>
      </c>
      <c r="H56" s="58">
        <f t="shared" si="3"/>
        <v>9603.7800000000007</v>
      </c>
    </row>
    <row r="57" spans="1:8" ht="22.5" customHeight="1">
      <c r="A57" s="23"/>
      <c r="B57" s="34"/>
      <c r="C57" s="21"/>
      <c r="D57" s="24"/>
      <c r="E57" s="24"/>
      <c r="F57" s="25"/>
      <c r="G57" s="57">
        <f t="shared" si="2"/>
        <v>0</v>
      </c>
      <c r="H57" s="58">
        <f t="shared" si="3"/>
        <v>9603.7800000000007</v>
      </c>
    </row>
    <row r="58" spans="1:8" ht="22.5" customHeight="1">
      <c r="A58" s="23"/>
      <c r="B58" s="34"/>
      <c r="C58" s="21"/>
      <c r="D58" s="24"/>
      <c r="E58" s="24"/>
      <c r="F58" s="25"/>
      <c r="G58" s="57">
        <f t="shared" si="2"/>
        <v>0</v>
      </c>
      <c r="H58" s="58">
        <f t="shared" si="3"/>
        <v>9603.7800000000007</v>
      </c>
    </row>
    <row r="59" spans="1:8" ht="22.5" customHeight="1">
      <c r="A59" s="23"/>
      <c r="B59" s="34"/>
      <c r="C59" s="21"/>
      <c r="D59" s="24"/>
      <c r="E59" s="24"/>
      <c r="F59" s="25"/>
      <c r="G59" s="57">
        <f t="shared" si="2"/>
        <v>0</v>
      </c>
      <c r="H59" s="58">
        <f t="shared" si="3"/>
        <v>9603.7800000000007</v>
      </c>
    </row>
    <row r="60" spans="1:8" ht="22.5" customHeight="1">
      <c r="A60" s="23"/>
      <c r="B60" s="34"/>
      <c r="C60" s="21"/>
      <c r="D60" s="24"/>
      <c r="E60" s="24"/>
      <c r="F60" s="25"/>
      <c r="G60" s="57">
        <f t="shared" si="2"/>
        <v>0</v>
      </c>
      <c r="H60" s="58">
        <f t="shared" si="3"/>
        <v>9603.7800000000007</v>
      </c>
    </row>
    <row r="61" spans="1:8" ht="22.5" customHeight="1">
      <c r="A61" s="23"/>
      <c r="B61" s="34"/>
      <c r="C61" s="21"/>
      <c r="D61" s="24"/>
      <c r="E61" s="24"/>
      <c r="F61" s="25"/>
      <c r="G61" s="57">
        <f t="shared" si="2"/>
        <v>0</v>
      </c>
      <c r="H61" s="58">
        <f t="shared" si="3"/>
        <v>9603.7800000000007</v>
      </c>
    </row>
    <row r="62" spans="1:8" ht="22.5" customHeight="1">
      <c r="A62" s="23"/>
      <c r="B62" s="34"/>
      <c r="C62" s="21"/>
      <c r="D62" s="24"/>
      <c r="E62" s="24"/>
      <c r="F62" s="25"/>
      <c r="G62" s="57">
        <f t="shared" si="2"/>
        <v>0</v>
      </c>
      <c r="H62" s="58">
        <f t="shared" si="3"/>
        <v>9603.7800000000007</v>
      </c>
    </row>
    <row r="63" spans="1:8" ht="22.5" customHeight="1">
      <c r="A63" s="23"/>
      <c r="B63" s="34"/>
      <c r="C63" s="21"/>
      <c r="D63" s="24"/>
      <c r="E63" s="24"/>
      <c r="F63" s="25"/>
      <c r="G63" s="57">
        <f t="shared" si="2"/>
        <v>0</v>
      </c>
      <c r="H63" s="58">
        <f t="shared" si="3"/>
        <v>9603.7800000000007</v>
      </c>
    </row>
    <row r="64" spans="1:8" ht="22.5" customHeight="1">
      <c r="A64" s="23"/>
      <c r="B64" s="34"/>
      <c r="C64" s="21"/>
      <c r="D64" s="24"/>
      <c r="E64" s="24"/>
      <c r="F64" s="25"/>
      <c r="G64" s="57">
        <f t="shared" si="2"/>
        <v>0</v>
      </c>
      <c r="H64" s="58">
        <f t="shared" si="3"/>
        <v>9603.7800000000007</v>
      </c>
    </row>
    <row r="65" spans="1:8" ht="22.5" customHeight="1">
      <c r="A65" s="23"/>
      <c r="B65" s="34"/>
      <c r="C65" s="21"/>
      <c r="D65" s="24"/>
      <c r="E65" s="24"/>
      <c r="F65" s="25"/>
      <c r="G65" s="57">
        <f t="shared" si="2"/>
        <v>0</v>
      </c>
      <c r="H65" s="58">
        <f t="shared" si="3"/>
        <v>9603.7800000000007</v>
      </c>
    </row>
    <row r="66" spans="1:8" ht="22.5" customHeight="1">
      <c r="A66" s="23"/>
      <c r="B66" s="34"/>
      <c r="C66" s="21"/>
      <c r="D66" s="24"/>
      <c r="E66" s="24"/>
      <c r="F66" s="25"/>
      <c r="G66" s="57">
        <f t="shared" si="2"/>
        <v>0</v>
      </c>
      <c r="H66" s="58">
        <f t="shared" si="3"/>
        <v>9603.7800000000007</v>
      </c>
    </row>
    <row r="67" spans="1:8" ht="22.5" customHeight="1">
      <c r="A67" s="23"/>
      <c r="B67" s="34"/>
      <c r="C67" s="21"/>
      <c r="D67" s="24"/>
      <c r="E67" s="24"/>
      <c r="F67" s="25"/>
      <c r="G67" s="57">
        <f t="shared" si="2"/>
        <v>0</v>
      </c>
      <c r="H67" s="58">
        <f t="shared" si="3"/>
        <v>9603.7800000000007</v>
      </c>
    </row>
    <row r="68" spans="1:8" ht="22.5" customHeight="1">
      <c r="A68" s="23"/>
      <c r="B68" s="34"/>
      <c r="C68" s="21"/>
      <c r="D68" s="24"/>
      <c r="E68" s="24"/>
      <c r="F68" s="25"/>
      <c r="G68" s="57">
        <f t="shared" si="2"/>
        <v>0</v>
      </c>
      <c r="H68" s="58">
        <f t="shared" si="3"/>
        <v>9603.7800000000007</v>
      </c>
    </row>
    <row r="69" spans="1:8" ht="22.5" customHeight="1">
      <c r="A69" s="23"/>
      <c r="B69" s="34"/>
      <c r="C69" s="21"/>
      <c r="D69" s="24"/>
      <c r="E69" s="24"/>
      <c r="F69" s="25"/>
      <c r="G69" s="57">
        <f t="shared" si="2"/>
        <v>0</v>
      </c>
      <c r="H69" s="58">
        <f t="shared" si="3"/>
        <v>9603.7800000000007</v>
      </c>
    </row>
    <row r="70" spans="1:8" ht="22.5" customHeight="1">
      <c r="A70" s="23"/>
      <c r="B70" s="34"/>
      <c r="C70" s="21"/>
      <c r="D70" s="24"/>
      <c r="E70" s="24"/>
      <c r="F70" s="25"/>
      <c r="G70" s="57">
        <f t="shared" si="2"/>
        <v>0</v>
      </c>
      <c r="H70" s="58">
        <f t="shared" si="3"/>
        <v>9603.7800000000007</v>
      </c>
    </row>
    <row r="71" spans="1:8" ht="22.5" customHeight="1">
      <c r="A71" s="23"/>
      <c r="B71" s="34"/>
      <c r="C71" s="21"/>
      <c r="D71" s="24"/>
      <c r="E71" s="24"/>
      <c r="F71" s="25"/>
      <c r="G71" s="57">
        <f t="shared" ref="G71:G102" si="4">IF(A71="Despesas",E71*-1,IF(A71="Receitas",E71,0))</f>
        <v>0</v>
      </c>
      <c r="H71" s="58">
        <f t="shared" ref="H71:H102" si="5">H70+G71</f>
        <v>9603.7800000000007</v>
      </c>
    </row>
    <row r="72" spans="1:8" ht="22.5" customHeight="1">
      <c r="A72" s="23"/>
      <c r="B72" s="34"/>
      <c r="C72" s="21"/>
      <c r="D72" s="24"/>
      <c r="E72" s="24"/>
      <c r="F72" s="25"/>
      <c r="G72" s="57">
        <f t="shared" si="4"/>
        <v>0</v>
      </c>
      <c r="H72" s="58">
        <f t="shared" si="5"/>
        <v>9603.7800000000007</v>
      </c>
    </row>
    <row r="73" spans="1:8" ht="22.5" customHeight="1">
      <c r="A73" s="23"/>
      <c r="B73" s="34"/>
      <c r="C73" s="21"/>
      <c r="D73" s="24"/>
      <c r="E73" s="24"/>
      <c r="F73" s="25"/>
      <c r="G73" s="57">
        <f t="shared" si="4"/>
        <v>0</v>
      </c>
      <c r="H73" s="58">
        <f t="shared" si="5"/>
        <v>9603.7800000000007</v>
      </c>
    </row>
    <row r="74" spans="1:8" ht="22.5" customHeight="1">
      <c r="A74" s="23"/>
      <c r="B74" s="34"/>
      <c r="C74" s="21"/>
      <c r="D74" s="24"/>
      <c r="E74" s="24"/>
      <c r="F74" s="25"/>
      <c r="G74" s="57">
        <f t="shared" si="4"/>
        <v>0</v>
      </c>
      <c r="H74" s="58">
        <f t="shared" si="5"/>
        <v>9603.7800000000007</v>
      </c>
    </row>
    <row r="75" spans="1:8" ht="22.5" customHeight="1">
      <c r="A75" s="23"/>
      <c r="B75" s="34"/>
      <c r="C75" s="21"/>
      <c r="D75" s="24"/>
      <c r="E75" s="24"/>
      <c r="F75" s="25"/>
      <c r="G75" s="57">
        <f t="shared" si="4"/>
        <v>0</v>
      </c>
      <c r="H75" s="58">
        <f t="shared" si="5"/>
        <v>9603.7800000000007</v>
      </c>
    </row>
    <row r="76" spans="1:8" ht="22.5" customHeight="1">
      <c r="A76" s="23"/>
      <c r="B76" s="34"/>
      <c r="C76" s="21"/>
      <c r="D76" s="24"/>
      <c r="E76" s="24"/>
      <c r="F76" s="25"/>
      <c r="G76" s="57">
        <f t="shared" si="4"/>
        <v>0</v>
      </c>
      <c r="H76" s="58">
        <f t="shared" si="5"/>
        <v>9603.7800000000007</v>
      </c>
    </row>
    <row r="77" spans="1:8" ht="22.5" customHeight="1">
      <c r="A77" s="23"/>
      <c r="B77" s="34"/>
      <c r="C77" s="21"/>
      <c r="D77" s="24"/>
      <c r="E77" s="24"/>
      <c r="F77" s="25"/>
      <c r="G77" s="57">
        <f t="shared" si="4"/>
        <v>0</v>
      </c>
      <c r="H77" s="58">
        <f t="shared" si="5"/>
        <v>9603.7800000000007</v>
      </c>
    </row>
    <row r="78" spans="1:8" ht="22.5" customHeight="1">
      <c r="A78" s="23"/>
      <c r="B78" s="34"/>
      <c r="C78" s="21"/>
      <c r="D78" s="24"/>
      <c r="E78" s="24"/>
      <c r="F78" s="25"/>
      <c r="G78" s="57">
        <f t="shared" si="4"/>
        <v>0</v>
      </c>
      <c r="H78" s="58">
        <f t="shared" si="5"/>
        <v>9603.7800000000007</v>
      </c>
    </row>
    <row r="79" spans="1:8" ht="22.5" customHeight="1">
      <c r="A79" s="23"/>
      <c r="B79" s="34"/>
      <c r="C79" s="21"/>
      <c r="D79" s="24"/>
      <c r="E79" s="24"/>
      <c r="F79" s="25"/>
      <c r="G79" s="57">
        <f t="shared" si="4"/>
        <v>0</v>
      </c>
      <c r="H79" s="58">
        <f t="shared" si="5"/>
        <v>9603.7800000000007</v>
      </c>
    </row>
    <row r="80" spans="1:8" ht="22.5" customHeight="1">
      <c r="A80" s="23"/>
      <c r="B80" s="34"/>
      <c r="C80" s="21"/>
      <c r="D80" s="24"/>
      <c r="E80" s="24"/>
      <c r="F80" s="25"/>
      <c r="G80" s="57">
        <f t="shared" si="4"/>
        <v>0</v>
      </c>
      <c r="H80" s="58">
        <f t="shared" si="5"/>
        <v>9603.7800000000007</v>
      </c>
    </row>
    <row r="81" spans="1:8" ht="22.5" customHeight="1">
      <c r="A81" s="23"/>
      <c r="B81" s="34"/>
      <c r="C81" s="21"/>
      <c r="D81" s="24"/>
      <c r="E81" s="24"/>
      <c r="F81" s="25"/>
      <c r="G81" s="57">
        <f t="shared" si="4"/>
        <v>0</v>
      </c>
      <c r="H81" s="58">
        <f t="shared" si="5"/>
        <v>9603.7800000000007</v>
      </c>
    </row>
    <row r="82" spans="1:8" ht="22.5" customHeight="1">
      <c r="A82" s="23"/>
      <c r="B82" s="34"/>
      <c r="C82" s="21"/>
      <c r="D82" s="24"/>
      <c r="E82" s="24"/>
      <c r="F82" s="25"/>
      <c r="G82" s="57">
        <f t="shared" si="4"/>
        <v>0</v>
      </c>
      <c r="H82" s="58">
        <f t="shared" si="5"/>
        <v>9603.7800000000007</v>
      </c>
    </row>
    <row r="83" spans="1:8" ht="22.5" customHeight="1">
      <c r="A83" s="23"/>
      <c r="B83" s="34"/>
      <c r="C83" s="21"/>
      <c r="D83" s="24"/>
      <c r="E83" s="24"/>
      <c r="F83" s="25"/>
      <c r="G83" s="57">
        <f t="shared" si="4"/>
        <v>0</v>
      </c>
      <c r="H83" s="58">
        <f t="shared" si="5"/>
        <v>9603.7800000000007</v>
      </c>
    </row>
    <row r="84" spans="1:8" ht="22.5" customHeight="1">
      <c r="A84" s="23"/>
      <c r="B84" s="34"/>
      <c r="C84" s="21"/>
      <c r="D84" s="24"/>
      <c r="E84" s="24"/>
      <c r="F84" s="25"/>
      <c r="G84" s="57">
        <f t="shared" si="4"/>
        <v>0</v>
      </c>
      <c r="H84" s="58">
        <f t="shared" si="5"/>
        <v>9603.7800000000007</v>
      </c>
    </row>
    <row r="85" spans="1:8" ht="22.5" customHeight="1">
      <c r="A85" s="23"/>
      <c r="B85" s="34"/>
      <c r="C85" s="21"/>
      <c r="D85" s="24"/>
      <c r="E85" s="24"/>
      <c r="F85" s="25"/>
      <c r="G85" s="57">
        <f t="shared" si="4"/>
        <v>0</v>
      </c>
      <c r="H85" s="58">
        <f t="shared" si="5"/>
        <v>9603.7800000000007</v>
      </c>
    </row>
    <row r="86" spans="1:8" ht="22.5" customHeight="1">
      <c r="A86" s="23"/>
      <c r="B86" s="34"/>
      <c r="C86" s="21"/>
      <c r="D86" s="24"/>
      <c r="E86" s="24"/>
      <c r="F86" s="25"/>
      <c r="G86" s="57">
        <f t="shared" si="4"/>
        <v>0</v>
      </c>
      <c r="H86" s="58">
        <f t="shared" si="5"/>
        <v>9603.7800000000007</v>
      </c>
    </row>
    <row r="87" spans="1:8" ht="22.5" customHeight="1">
      <c r="A87" s="23"/>
      <c r="B87" s="34"/>
      <c r="C87" s="21"/>
      <c r="D87" s="24"/>
      <c r="E87" s="24"/>
      <c r="F87" s="25"/>
      <c r="G87" s="57">
        <f t="shared" si="4"/>
        <v>0</v>
      </c>
      <c r="H87" s="58">
        <f t="shared" si="5"/>
        <v>9603.7800000000007</v>
      </c>
    </row>
    <row r="88" spans="1:8" ht="22.5" customHeight="1">
      <c r="A88" s="23"/>
      <c r="B88" s="34"/>
      <c r="C88" s="21"/>
      <c r="D88" s="24"/>
      <c r="E88" s="24"/>
      <c r="F88" s="25"/>
      <c r="G88" s="57">
        <f t="shared" si="4"/>
        <v>0</v>
      </c>
      <c r="H88" s="58">
        <f t="shared" si="5"/>
        <v>9603.7800000000007</v>
      </c>
    </row>
    <row r="89" spans="1:8" ht="22.5" customHeight="1">
      <c r="A89" s="23"/>
      <c r="B89" s="34"/>
      <c r="C89" s="21"/>
      <c r="D89" s="24"/>
      <c r="E89" s="24"/>
      <c r="F89" s="25"/>
      <c r="G89" s="57">
        <f t="shared" si="4"/>
        <v>0</v>
      </c>
      <c r="H89" s="58">
        <f t="shared" si="5"/>
        <v>9603.7800000000007</v>
      </c>
    </row>
    <row r="90" spans="1:8" ht="22.5" customHeight="1">
      <c r="A90" s="23"/>
      <c r="B90" s="34"/>
      <c r="C90" s="21"/>
      <c r="D90" s="24"/>
      <c r="E90" s="24"/>
      <c r="F90" s="25"/>
      <c r="G90" s="57">
        <f t="shared" si="4"/>
        <v>0</v>
      </c>
      <c r="H90" s="58">
        <f t="shared" si="5"/>
        <v>9603.7800000000007</v>
      </c>
    </row>
    <row r="91" spans="1:8" ht="22.5" customHeight="1">
      <c r="A91" s="23"/>
      <c r="B91" s="34"/>
      <c r="C91" s="21"/>
      <c r="D91" s="24"/>
      <c r="E91" s="24"/>
      <c r="F91" s="25"/>
      <c r="G91" s="57">
        <f t="shared" si="4"/>
        <v>0</v>
      </c>
      <c r="H91" s="58">
        <f t="shared" si="5"/>
        <v>9603.7800000000007</v>
      </c>
    </row>
    <row r="92" spans="1:8" ht="22.5" customHeight="1">
      <c r="A92" s="23"/>
      <c r="B92" s="34"/>
      <c r="C92" s="21"/>
      <c r="D92" s="24"/>
      <c r="E92" s="24"/>
      <c r="F92" s="25"/>
      <c r="G92" s="57">
        <f t="shared" si="4"/>
        <v>0</v>
      </c>
      <c r="H92" s="58">
        <f t="shared" si="5"/>
        <v>9603.7800000000007</v>
      </c>
    </row>
    <row r="93" spans="1:8" ht="22.5" customHeight="1">
      <c r="A93" s="23"/>
      <c r="B93" s="34"/>
      <c r="C93" s="21"/>
      <c r="D93" s="24"/>
      <c r="E93" s="24"/>
      <c r="F93" s="25"/>
      <c r="G93" s="57">
        <f t="shared" si="4"/>
        <v>0</v>
      </c>
      <c r="H93" s="58">
        <f t="shared" si="5"/>
        <v>9603.7800000000007</v>
      </c>
    </row>
    <row r="94" spans="1:8" ht="22.5" customHeight="1">
      <c r="A94" s="23"/>
      <c r="B94" s="34"/>
      <c r="C94" s="21"/>
      <c r="D94" s="24"/>
      <c r="E94" s="24"/>
      <c r="F94" s="25"/>
      <c r="G94" s="57">
        <f t="shared" si="4"/>
        <v>0</v>
      </c>
      <c r="H94" s="58">
        <f t="shared" si="5"/>
        <v>9603.7800000000007</v>
      </c>
    </row>
    <row r="95" spans="1:8" ht="22.5" customHeight="1">
      <c r="A95" s="23"/>
      <c r="B95" s="34"/>
      <c r="C95" s="21"/>
      <c r="D95" s="24"/>
      <c r="E95" s="24"/>
      <c r="F95" s="25"/>
      <c r="G95" s="57">
        <f t="shared" si="4"/>
        <v>0</v>
      </c>
      <c r="H95" s="58">
        <f t="shared" si="5"/>
        <v>9603.7800000000007</v>
      </c>
    </row>
    <row r="96" spans="1:8" ht="22.5" customHeight="1">
      <c r="A96" s="23"/>
      <c r="B96" s="34"/>
      <c r="C96" s="21"/>
      <c r="D96" s="24"/>
      <c r="E96" s="24"/>
      <c r="F96" s="25"/>
      <c r="G96" s="57">
        <f t="shared" si="4"/>
        <v>0</v>
      </c>
      <c r="H96" s="58">
        <f t="shared" si="5"/>
        <v>9603.7800000000007</v>
      </c>
    </row>
    <row r="97" spans="1:8" ht="22.5" customHeight="1">
      <c r="A97" s="23"/>
      <c r="B97" s="34"/>
      <c r="C97" s="21"/>
      <c r="D97" s="24"/>
      <c r="E97" s="24"/>
      <c r="F97" s="25"/>
      <c r="G97" s="57">
        <f t="shared" si="4"/>
        <v>0</v>
      </c>
      <c r="H97" s="58">
        <f t="shared" si="5"/>
        <v>9603.7800000000007</v>
      </c>
    </row>
    <row r="98" spans="1:8" ht="22.5" customHeight="1">
      <c r="A98" s="23"/>
      <c r="B98" s="34"/>
      <c r="C98" s="21"/>
      <c r="D98" s="24"/>
      <c r="E98" s="24"/>
      <c r="F98" s="25"/>
      <c r="G98" s="57">
        <f t="shared" si="4"/>
        <v>0</v>
      </c>
      <c r="H98" s="58">
        <f t="shared" si="5"/>
        <v>9603.7800000000007</v>
      </c>
    </row>
    <row r="99" spans="1:8" ht="22.5" customHeight="1">
      <c r="A99" s="23"/>
      <c r="B99" s="34"/>
      <c r="C99" s="21"/>
      <c r="D99" s="24"/>
      <c r="E99" s="24"/>
      <c r="F99" s="25"/>
      <c r="G99" s="57">
        <f t="shared" si="4"/>
        <v>0</v>
      </c>
      <c r="H99" s="58">
        <f t="shared" si="5"/>
        <v>9603.7800000000007</v>
      </c>
    </row>
    <row r="100" spans="1:8" ht="22.5" customHeight="1">
      <c r="A100" s="23"/>
      <c r="B100" s="34"/>
      <c r="C100" s="21"/>
      <c r="D100" s="24"/>
      <c r="E100" s="24"/>
      <c r="F100" s="25"/>
      <c r="G100" s="57">
        <f t="shared" si="4"/>
        <v>0</v>
      </c>
      <c r="H100" s="58">
        <f t="shared" si="5"/>
        <v>9603.7800000000007</v>
      </c>
    </row>
    <row r="101" spans="1:8" ht="22.5" customHeight="1">
      <c r="A101" s="23"/>
      <c r="B101" s="34"/>
      <c r="C101" s="21"/>
      <c r="D101" s="24"/>
      <c r="E101" s="24"/>
      <c r="F101" s="25"/>
      <c r="G101" s="57">
        <f t="shared" si="4"/>
        <v>0</v>
      </c>
      <c r="H101" s="58">
        <f t="shared" si="5"/>
        <v>9603.7800000000007</v>
      </c>
    </row>
    <row r="102" spans="1:8" ht="22.5" customHeight="1">
      <c r="A102" s="23"/>
      <c r="B102" s="34"/>
      <c r="C102" s="21"/>
      <c r="D102" s="24"/>
      <c r="E102" s="24"/>
      <c r="F102" s="25"/>
      <c r="G102" s="57">
        <f t="shared" si="4"/>
        <v>0</v>
      </c>
      <c r="H102" s="58">
        <f t="shared" si="5"/>
        <v>9603.7800000000007</v>
      </c>
    </row>
    <row r="103" spans="1:8" ht="22.5" customHeight="1">
      <c r="A103" s="23"/>
      <c r="B103" s="34"/>
      <c r="C103" s="21"/>
      <c r="D103" s="24"/>
      <c r="E103" s="24"/>
      <c r="F103" s="25"/>
      <c r="G103" s="57">
        <f t="shared" ref="G103:G134" si="6">IF(A103="Despesas",E103*-1,IF(A103="Receitas",E103,0))</f>
        <v>0</v>
      </c>
      <c r="H103" s="58">
        <f t="shared" ref="H103:H134" si="7">H102+G103</f>
        <v>9603.7800000000007</v>
      </c>
    </row>
    <row r="104" spans="1:8" ht="22.5" customHeight="1">
      <c r="A104" s="23"/>
      <c r="B104" s="34"/>
      <c r="C104" s="21"/>
      <c r="D104" s="24"/>
      <c r="E104" s="24"/>
      <c r="F104" s="25"/>
      <c r="G104" s="57">
        <f t="shared" si="6"/>
        <v>0</v>
      </c>
      <c r="H104" s="58">
        <f t="shared" si="7"/>
        <v>9603.7800000000007</v>
      </c>
    </row>
    <row r="105" spans="1:8" ht="22.5" customHeight="1">
      <c r="A105" s="23"/>
      <c r="B105" s="34"/>
      <c r="C105" s="21"/>
      <c r="D105" s="24"/>
      <c r="E105" s="24"/>
      <c r="F105" s="25"/>
      <c r="G105" s="57">
        <f t="shared" si="6"/>
        <v>0</v>
      </c>
      <c r="H105" s="58">
        <f t="shared" si="7"/>
        <v>9603.7800000000007</v>
      </c>
    </row>
    <row r="106" spans="1:8" ht="22.5" customHeight="1">
      <c r="A106" s="23"/>
      <c r="B106" s="34"/>
      <c r="C106" s="21"/>
      <c r="D106" s="24"/>
      <c r="E106" s="24"/>
      <c r="F106" s="25"/>
      <c r="G106" s="57">
        <f t="shared" si="6"/>
        <v>0</v>
      </c>
      <c r="H106" s="58">
        <f t="shared" si="7"/>
        <v>9603.7800000000007</v>
      </c>
    </row>
    <row r="107" spans="1:8" ht="22.5" customHeight="1">
      <c r="A107" s="23"/>
      <c r="B107" s="34"/>
      <c r="C107" s="21"/>
      <c r="D107" s="24"/>
      <c r="E107" s="24"/>
      <c r="F107" s="25"/>
      <c r="G107" s="57">
        <f t="shared" si="6"/>
        <v>0</v>
      </c>
      <c r="H107" s="58">
        <f t="shared" si="7"/>
        <v>9603.7800000000007</v>
      </c>
    </row>
    <row r="108" spans="1:8" ht="22.5" customHeight="1">
      <c r="A108" s="23"/>
      <c r="B108" s="34"/>
      <c r="C108" s="21"/>
      <c r="D108" s="24"/>
      <c r="E108" s="24"/>
      <c r="F108" s="25"/>
      <c r="G108" s="57">
        <f t="shared" si="6"/>
        <v>0</v>
      </c>
      <c r="H108" s="58">
        <f t="shared" si="7"/>
        <v>9603.7800000000007</v>
      </c>
    </row>
    <row r="109" spans="1:8" ht="22.5" customHeight="1">
      <c r="A109" s="23"/>
      <c r="B109" s="34"/>
      <c r="C109" s="21"/>
      <c r="D109" s="24"/>
      <c r="E109" s="24"/>
      <c r="F109" s="25"/>
      <c r="G109" s="57">
        <f t="shared" si="6"/>
        <v>0</v>
      </c>
      <c r="H109" s="58">
        <f t="shared" si="7"/>
        <v>9603.7800000000007</v>
      </c>
    </row>
    <row r="110" spans="1:8" ht="22.5" customHeight="1">
      <c r="A110" s="23"/>
      <c r="B110" s="34"/>
      <c r="C110" s="21"/>
      <c r="D110" s="24"/>
      <c r="E110" s="24"/>
      <c r="F110" s="25"/>
      <c r="G110" s="57">
        <f t="shared" si="6"/>
        <v>0</v>
      </c>
      <c r="H110" s="58">
        <f t="shared" si="7"/>
        <v>9603.7800000000007</v>
      </c>
    </row>
    <row r="111" spans="1:8" ht="22.5" customHeight="1">
      <c r="A111" s="23"/>
      <c r="B111" s="34"/>
      <c r="C111" s="21"/>
      <c r="D111" s="24"/>
      <c r="E111" s="24"/>
      <c r="F111" s="25"/>
      <c r="G111" s="57">
        <f t="shared" si="6"/>
        <v>0</v>
      </c>
      <c r="H111" s="58">
        <f t="shared" si="7"/>
        <v>9603.7800000000007</v>
      </c>
    </row>
    <row r="112" spans="1:8" ht="22.5" customHeight="1">
      <c r="A112" s="23"/>
      <c r="B112" s="34"/>
      <c r="C112" s="21"/>
      <c r="D112" s="24"/>
      <c r="E112" s="24"/>
      <c r="F112" s="25"/>
      <c r="G112" s="57">
        <f t="shared" si="6"/>
        <v>0</v>
      </c>
      <c r="H112" s="58">
        <f t="shared" si="7"/>
        <v>9603.7800000000007</v>
      </c>
    </row>
    <row r="113" spans="1:8" ht="22.5" customHeight="1">
      <c r="A113" s="23"/>
      <c r="B113" s="34"/>
      <c r="C113" s="21"/>
      <c r="D113" s="24"/>
      <c r="E113" s="24"/>
      <c r="F113" s="25"/>
      <c r="G113" s="57">
        <f t="shared" si="6"/>
        <v>0</v>
      </c>
      <c r="H113" s="58">
        <f t="shared" si="7"/>
        <v>9603.7800000000007</v>
      </c>
    </row>
    <row r="114" spans="1:8" ht="22.5" customHeight="1">
      <c r="A114" s="23"/>
      <c r="B114" s="34"/>
      <c r="C114" s="21"/>
      <c r="D114" s="24"/>
      <c r="E114" s="24"/>
      <c r="F114" s="25"/>
      <c r="G114" s="57">
        <f t="shared" si="6"/>
        <v>0</v>
      </c>
      <c r="H114" s="58">
        <f t="shared" si="7"/>
        <v>9603.7800000000007</v>
      </c>
    </row>
    <row r="115" spans="1:8" ht="22.5" customHeight="1">
      <c r="A115" s="23"/>
      <c r="B115" s="34"/>
      <c r="C115" s="21"/>
      <c r="D115" s="24"/>
      <c r="E115" s="24"/>
      <c r="F115" s="25"/>
      <c r="G115" s="57">
        <f t="shared" si="6"/>
        <v>0</v>
      </c>
      <c r="H115" s="58">
        <f t="shared" si="7"/>
        <v>9603.7800000000007</v>
      </c>
    </row>
    <row r="116" spans="1:8" ht="22.5" customHeight="1">
      <c r="A116" s="23"/>
      <c r="B116" s="34"/>
      <c r="C116" s="21"/>
      <c r="D116" s="24"/>
      <c r="E116" s="24"/>
      <c r="F116" s="25"/>
      <c r="G116" s="57">
        <f t="shared" si="6"/>
        <v>0</v>
      </c>
      <c r="H116" s="58">
        <f t="shared" si="7"/>
        <v>9603.7800000000007</v>
      </c>
    </row>
    <row r="117" spans="1:8" ht="22.5" customHeight="1">
      <c r="A117" s="23"/>
      <c r="B117" s="34"/>
      <c r="C117" s="21"/>
      <c r="D117" s="24"/>
      <c r="E117" s="24"/>
      <c r="F117" s="25"/>
      <c r="G117" s="57">
        <f t="shared" si="6"/>
        <v>0</v>
      </c>
      <c r="H117" s="58">
        <f t="shared" si="7"/>
        <v>9603.7800000000007</v>
      </c>
    </row>
    <row r="118" spans="1:8" ht="22.5" customHeight="1">
      <c r="A118" s="23"/>
      <c r="B118" s="34"/>
      <c r="C118" s="21"/>
      <c r="D118" s="24"/>
      <c r="E118" s="24"/>
      <c r="F118" s="25"/>
      <c r="G118" s="57">
        <f t="shared" si="6"/>
        <v>0</v>
      </c>
      <c r="H118" s="58">
        <f t="shared" si="7"/>
        <v>9603.7800000000007</v>
      </c>
    </row>
    <row r="119" spans="1:8" ht="22.5" customHeight="1">
      <c r="A119" s="23"/>
      <c r="B119" s="34"/>
      <c r="C119" s="21"/>
      <c r="D119" s="24"/>
      <c r="E119" s="24"/>
      <c r="F119" s="25"/>
      <c r="G119" s="57">
        <f t="shared" si="6"/>
        <v>0</v>
      </c>
      <c r="H119" s="58">
        <f t="shared" si="7"/>
        <v>9603.7800000000007</v>
      </c>
    </row>
    <row r="120" spans="1:8" ht="22.5" customHeight="1">
      <c r="A120" s="23"/>
      <c r="B120" s="34"/>
      <c r="C120" s="21"/>
      <c r="D120" s="24"/>
      <c r="E120" s="24"/>
      <c r="F120" s="25"/>
      <c r="G120" s="57">
        <f t="shared" si="6"/>
        <v>0</v>
      </c>
      <c r="H120" s="58">
        <f t="shared" si="7"/>
        <v>9603.7800000000007</v>
      </c>
    </row>
    <row r="121" spans="1:8" ht="22.5" customHeight="1">
      <c r="A121" s="23"/>
      <c r="B121" s="34"/>
      <c r="C121" s="21"/>
      <c r="D121" s="24"/>
      <c r="E121" s="24"/>
      <c r="F121" s="25"/>
      <c r="G121" s="57">
        <f t="shared" si="6"/>
        <v>0</v>
      </c>
      <c r="H121" s="58">
        <f t="shared" si="7"/>
        <v>9603.7800000000007</v>
      </c>
    </row>
    <row r="122" spans="1:8" ht="22.5" customHeight="1">
      <c r="A122" s="23"/>
      <c r="B122" s="34"/>
      <c r="C122" s="21"/>
      <c r="D122" s="24"/>
      <c r="E122" s="24"/>
      <c r="F122" s="25"/>
      <c r="G122" s="57">
        <f t="shared" si="6"/>
        <v>0</v>
      </c>
      <c r="H122" s="58">
        <f t="shared" si="7"/>
        <v>9603.7800000000007</v>
      </c>
    </row>
    <row r="123" spans="1:8" ht="22.5" customHeight="1">
      <c r="A123" s="23"/>
      <c r="B123" s="34"/>
      <c r="C123" s="21"/>
      <c r="D123" s="24"/>
      <c r="E123" s="24"/>
      <c r="F123" s="25"/>
      <c r="G123" s="57">
        <f t="shared" si="6"/>
        <v>0</v>
      </c>
      <c r="H123" s="58">
        <f t="shared" si="7"/>
        <v>9603.7800000000007</v>
      </c>
    </row>
    <row r="124" spans="1:8" ht="22.5" customHeight="1">
      <c r="A124" s="23"/>
      <c r="B124" s="34"/>
      <c r="C124" s="21"/>
      <c r="D124" s="24"/>
      <c r="E124" s="24"/>
      <c r="F124" s="25"/>
      <c r="G124" s="57">
        <f t="shared" si="6"/>
        <v>0</v>
      </c>
      <c r="H124" s="58">
        <f t="shared" si="7"/>
        <v>9603.7800000000007</v>
      </c>
    </row>
    <row r="125" spans="1:8" ht="22.5" customHeight="1">
      <c r="A125" s="23"/>
      <c r="B125" s="34"/>
      <c r="C125" s="21"/>
      <c r="D125" s="24"/>
      <c r="E125" s="24"/>
      <c r="F125" s="25"/>
      <c r="G125" s="57">
        <f t="shared" si="6"/>
        <v>0</v>
      </c>
      <c r="H125" s="58">
        <f t="shared" si="7"/>
        <v>9603.7800000000007</v>
      </c>
    </row>
    <row r="126" spans="1:8" ht="22.5" customHeight="1">
      <c r="A126" s="23"/>
      <c r="B126" s="34"/>
      <c r="C126" s="21"/>
      <c r="D126" s="24"/>
      <c r="E126" s="24"/>
      <c r="F126" s="25"/>
      <c r="G126" s="57">
        <f t="shared" si="6"/>
        <v>0</v>
      </c>
      <c r="H126" s="58">
        <f t="shared" si="7"/>
        <v>9603.7800000000007</v>
      </c>
    </row>
    <row r="127" spans="1:8" ht="22.5" customHeight="1">
      <c r="A127" s="23"/>
      <c r="B127" s="34"/>
      <c r="C127" s="21"/>
      <c r="D127" s="24"/>
      <c r="E127" s="24"/>
      <c r="F127" s="25"/>
      <c r="G127" s="57">
        <f t="shared" si="6"/>
        <v>0</v>
      </c>
      <c r="H127" s="58">
        <f t="shared" si="7"/>
        <v>9603.7800000000007</v>
      </c>
    </row>
    <row r="128" spans="1:8" ht="22.5" customHeight="1">
      <c r="A128" s="23"/>
      <c r="B128" s="34"/>
      <c r="C128" s="21"/>
      <c r="D128" s="24"/>
      <c r="E128" s="24"/>
      <c r="F128" s="25"/>
      <c r="G128" s="57">
        <f t="shared" si="6"/>
        <v>0</v>
      </c>
      <c r="H128" s="58">
        <f t="shared" si="7"/>
        <v>9603.7800000000007</v>
      </c>
    </row>
    <row r="129" spans="1:8" ht="22.5" customHeight="1">
      <c r="A129" s="23"/>
      <c r="B129" s="34"/>
      <c r="C129" s="21"/>
      <c r="D129" s="24"/>
      <c r="E129" s="24"/>
      <c r="F129" s="25"/>
      <c r="G129" s="57">
        <f t="shared" si="6"/>
        <v>0</v>
      </c>
      <c r="H129" s="58">
        <f t="shared" si="7"/>
        <v>9603.7800000000007</v>
      </c>
    </row>
    <row r="130" spans="1:8" ht="22.5" customHeight="1">
      <c r="A130" s="23"/>
      <c r="B130" s="34"/>
      <c r="C130" s="21"/>
      <c r="D130" s="24"/>
      <c r="E130" s="24"/>
      <c r="F130" s="25"/>
      <c r="G130" s="57">
        <f t="shared" si="6"/>
        <v>0</v>
      </c>
      <c r="H130" s="58">
        <f t="shared" si="7"/>
        <v>9603.7800000000007</v>
      </c>
    </row>
    <row r="131" spans="1:8" ht="22.5" customHeight="1">
      <c r="A131" s="23"/>
      <c r="B131" s="34"/>
      <c r="C131" s="21"/>
      <c r="D131" s="24"/>
      <c r="E131" s="24"/>
      <c r="F131" s="25"/>
      <c r="G131" s="57">
        <f t="shared" si="6"/>
        <v>0</v>
      </c>
      <c r="H131" s="58">
        <f t="shared" si="7"/>
        <v>9603.7800000000007</v>
      </c>
    </row>
    <row r="132" spans="1:8" ht="22.5" customHeight="1">
      <c r="A132" s="23"/>
      <c r="B132" s="34"/>
      <c r="C132" s="21"/>
      <c r="D132" s="24"/>
      <c r="E132" s="24"/>
      <c r="F132" s="25"/>
      <c r="G132" s="57">
        <f t="shared" si="6"/>
        <v>0</v>
      </c>
      <c r="H132" s="58">
        <f t="shared" si="7"/>
        <v>9603.7800000000007</v>
      </c>
    </row>
    <row r="133" spans="1:8" ht="22.5" customHeight="1">
      <c r="A133" s="23"/>
      <c r="B133" s="34"/>
      <c r="C133" s="21"/>
      <c r="D133" s="24"/>
      <c r="E133" s="24"/>
      <c r="F133" s="25"/>
      <c r="G133" s="57">
        <f t="shared" si="6"/>
        <v>0</v>
      </c>
      <c r="H133" s="58">
        <f t="shared" si="7"/>
        <v>9603.7800000000007</v>
      </c>
    </row>
    <row r="134" spans="1:8" ht="22.5" customHeight="1">
      <c r="A134" s="23"/>
      <c r="B134" s="34"/>
      <c r="C134" s="21"/>
      <c r="D134" s="24"/>
      <c r="E134" s="24"/>
      <c r="F134" s="25"/>
      <c r="G134" s="57">
        <f t="shared" si="6"/>
        <v>0</v>
      </c>
      <c r="H134" s="58">
        <f t="shared" si="7"/>
        <v>9603.7800000000007</v>
      </c>
    </row>
    <row r="135" spans="1:8" ht="22.5" customHeight="1">
      <c r="A135" s="23"/>
      <c r="B135" s="34"/>
      <c r="C135" s="21"/>
      <c r="D135" s="24"/>
      <c r="E135" s="24"/>
      <c r="F135" s="25"/>
      <c r="G135" s="57">
        <f t="shared" ref="G135:G166" si="8">IF(A135="Despesas",E135*-1,IF(A135="Receitas",E135,0))</f>
        <v>0</v>
      </c>
      <c r="H135" s="58">
        <f t="shared" ref="H135:H166" si="9">H134+G135</f>
        <v>9603.7800000000007</v>
      </c>
    </row>
    <row r="136" spans="1:8" ht="22.5" customHeight="1">
      <c r="A136" s="23"/>
      <c r="B136" s="34"/>
      <c r="C136" s="21"/>
      <c r="D136" s="24"/>
      <c r="E136" s="24"/>
      <c r="F136" s="25"/>
      <c r="G136" s="57">
        <f t="shared" si="8"/>
        <v>0</v>
      </c>
      <c r="H136" s="58">
        <f t="shared" si="9"/>
        <v>9603.7800000000007</v>
      </c>
    </row>
    <row r="137" spans="1:8" ht="22.5" customHeight="1">
      <c r="A137" s="23"/>
      <c r="B137" s="34"/>
      <c r="C137" s="21"/>
      <c r="D137" s="24"/>
      <c r="E137" s="24"/>
      <c r="F137" s="25"/>
      <c r="G137" s="57">
        <f t="shared" si="8"/>
        <v>0</v>
      </c>
      <c r="H137" s="58">
        <f t="shared" si="9"/>
        <v>9603.7800000000007</v>
      </c>
    </row>
    <row r="138" spans="1:8" ht="22.5" customHeight="1">
      <c r="A138" s="23"/>
      <c r="B138" s="34"/>
      <c r="C138" s="21"/>
      <c r="D138" s="24"/>
      <c r="E138" s="24"/>
      <c r="F138" s="25"/>
      <c r="G138" s="57">
        <f t="shared" si="8"/>
        <v>0</v>
      </c>
      <c r="H138" s="58">
        <f t="shared" si="9"/>
        <v>9603.7800000000007</v>
      </c>
    </row>
    <row r="139" spans="1:8" ht="22.5" customHeight="1">
      <c r="A139" s="23"/>
      <c r="B139" s="34"/>
      <c r="C139" s="21"/>
      <c r="D139" s="24"/>
      <c r="E139" s="24"/>
      <c r="F139" s="25"/>
      <c r="G139" s="57">
        <f t="shared" si="8"/>
        <v>0</v>
      </c>
      <c r="H139" s="58">
        <f t="shared" si="9"/>
        <v>9603.7800000000007</v>
      </c>
    </row>
    <row r="140" spans="1:8" ht="22.5" customHeight="1">
      <c r="A140" s="23"/>
      <c r="B140" s="34"/>
      <c r="C140" s="21"/>
      <c r="D140" s="24"/>
      <c r="E140" s="24"/>
      <c r="F140" s="25"/>
      <c r="G140" s="57">
        <f t="shared" si="8"/>
        <v>0</v>
      </c>
      <c r="H140" s="58">
        <f t="shared" si="9"/>
        <v>9603.7800000000007</v>
      </c>
    </row>
    <row r="141" spans="1:8" ht="22.5" customHeight="1">
      <c r="A141" s="23"/>
      <c r="B141" s="34"/>
      <c r="C141" s="21"/>
      <c r="D141" s="24"/>
      <c r="E141" s="24"/>
      <c r="F141" s="25"/>
      <c r="G141" s="57">
        <f t="shared" si="8"/>
        <v>0</v>
      </c>
      <c r="H141" s="58">
        <f t="shared" si="9"/>
        <v>9603.7800000000007</v>
      </c>
    </row>
    <row r="142" spans="1:8" ht="22.5" customHeight="1">
      <c r="A142" s="23"/>
      <c r="B142" s="34"/>
      <c r="C142" s="21"/>
      <c r="D142" s="24"/>
      <c r="E142" s="24"/>
      <c r="F142" s="25"/>
      <c r="G142" s="57">
        <f t="shared" si="8"/>
        <v>0</v>
      </c>
      <c r="H142" s="58">
        <f t="shared" si="9"/>
        <v>9603.7800000000007</v>
      </c>
    </row>
    <row r="143" spans="1:8" ht="22.5" customHeight="1">
      <c r="A143" s="23"/>
      <c r="B143" s="34"/>
      <c r="C143" s="21"/>
      <c r="D143" s="24"/>
      <c r="E143" s="24"/>
      <c r="F143" s="25"/>
      <c r="G143" s="57">
        <f t="shared" si="8"/>
        <v>0</v>
      </c>
      <c r="H143" s="58">
        <f t="shared" ref="H143:H206" si="10">H142+G143</f>
        <v>9603.7800000000007</v>
      </c>
    </row>
    <row r="144" spans="1:8" ht="22.5" customHeight="1">
      <c r="A144" s="23"/>
      <c r="B144" s="34"/>
      <c r="C144" s="21"/>
      <c r="D144" s="24"/>
      <c r="E144" s="24"/>
      <c r="F144" s="25"/>
      <c r="G144" s="57">
        <f t="shared" si="8"/>
        <v>0</v>
      </c>
      <c r="H144" s="58">
        <f t="shared" si="10"/>
        <v>9603.7800000000007</v>
      </c>
    </row>
    <row r="145" spans="1:8" ht="22.5" customHeight="1">
      <c r="A145" s="23"/>
      <c r="B145" s="34"/>
      <c r="C145" s="21"/>
      <c r="D145" s="24"/>
      <c r="E145" s="24"/>
      <c r="F145" s="25"/>
      <c r="G145" s="57">
        <f t="shared" si="8"/>
        <v>0</v>
      </c>
      <c r="H145" s="58">
        <f t="shared" si="10"/>
        <v>9603.7800000000007</v>
      </c>
    </row>
    <row r="146" spans="1:8" ht="22.5" customHeight="1">
      <c r="A146" s="23"/>
      <c r="B146" s="34"/>
      <c r="C146" s="21"/>
      <c r="D146" s="24"/>
      <c r="E146" s="24"/>
      <c r="F146" s="25"/>
      <c r="G146" s="57">
        <f t="shared" si="8"/>
        <v>0</v>
      </c>
      <c r="H146" s="58">
        <f t="shared" si="10"/>
        <v>9603.7800000000007</v>
      </c>
    </row>
    <row r="147" spans="1:8" ht="22.5" customHeight="1">
      <c r="A147" s="23"/>
      <c r="B147" s="34"/>
      <c r="C147" s="21"/>
      <c r="D147" s="24"/>
      <c r="E147" s="24"/>
      <c r="F147" s="25"/>
      <c r="G147" s="57">
        <f t="shared" si="8"/>
        <v>0</v>
      </c>
      <c r="H147" s="58">
        <f t="shared" si="10"/>
        <v>9603.7800000000007</v>
      </c>
    </row>
    <row r="148" spans="1:8" ht="22.5" customHeight="1">
      <c r="A148" s="23"/>
      <c r="B148" s="34"/>
      <c r="C148" s="21"/>
      <c r="D148" s="24"/>
      <c r="E148" s="24"/>
      <c r="F148" s="25"/>
      <c r="G148" s="57">
        <f t="shared" si="8"/>
        <v>0</v>
      </c>
      <c r="H148" s="58">
        <f t="shared" si="10"/>
        <v>9603.7800000000007</v>
      </c>
    </row>
    <row r="149" spans="1:8" ht="22.5" customHeight="1">
      <c r="A149" s="23"/>
      <c r="B149" s="34"/>
      <c r="C149" s="21"/>
      <c r="D149" s="24"/>
      <c r="E149" s="24"/>
      <c r="F149" s="25"/>
      <c r="G149" s="57">
        <f t="shared" si="8"/>
        <v>0</v>
      </c>
      <c r="H149" s="58">
        <f t="shared" si="10"/>
        <v>9603.7800000000007</v>
      </c>
    </row>
    <row r="150" spans="1:8" ht="22.5" customHeight="1">
      <c r="A150" s="23"/>
      <c r="B150" s="34"/>
      <c r="C150" s="21"/>
      <c r="D150" s="24"/>
      <c r="E150" s="24"/>
      <c r="F150" s="25"/>
      <c r="G150" s="57">
        <f t="shared" si="8"/>
        <v>0</v>
      </c>
      <c r="H150" s="58">
        <f t="shared" si="10"/>
        <v>9603.7800000000007</v>
      </c>
    </row>
    <row r="151" spans="1:8" ht="22.5" customHeight="1">
      <c r="A151" s="23"/>
      <c r="B151" s="34"/>
      <c r="C151" s="21"/>
      <c r="D151" s="24"/>
      <c r="E151" s="24"/>
      <c r="F151" s="25"/>
      <c r="G151" s="57">
        <f t="shared" si="8"/>
        <v>0</v>
      </c>
      <c r="H151" s="58">
        <f t="shared" si="10"/>
        <v>9603.7800000000007</v>
      </c>
    </row>
    <row r="152" spans="1:8" ht="22.5" customHeight="1">
      <c r="A152" s="23"/>
      <c r="B152" s="34"/>
      <c r="C152" s="21"/>
      <c r="D152" s="24"/>
      <c r="E152" s="24"/>
      <c r="F152" s="25"/>
      <c r="G152" s="57">
        <f t="shared" si="8"/>
        <v>0</v>
      </c>
      <c r="H152" s="58">
        <f t="shared" si="10"/>
        <v>9603.7800000000007</v>
      </c>
    </row>
    <row r="153" spans="1:8" ht="22.5" customHeight="1">
      <c r="A153" s="23"/>
      <c r="B153" s="34"/>
      <c r="C153" s="21"/>
      <c r="D153" s="24"/>
      <c r="E153" s="24"/>
      <c r="F153" s="25"/>
      <c r="G153" s="57">
        <f t="shared" si="8"/>
        <v>0</v>
      </c>
      <c r="H153" s="58">
        <f t="shared" si="10"/>
        <v>9603.7800000000007</v>
      </c>
    </row>
    <row r="154" spans="1:8" ht="22.5" customHeight="1">
      <c r="A154" s="23"/>
      <c r="B154" s="34"/>
      <c r="C154" s="21"/>
      <c r="D154" s="24"/>
      <c r="E154" s="24"/>
      <c r="F154" s="25"/>
      <c r="G154" s="57">
        <f t="shared" si="8"/>
        <v>0</v>
      </c>
      <c r="H154" s="58">
        <f t="shared" si="10"/>
        <v>9603.7800000000007</v>
      </c>
    </row>
    <row r="155" spans="1:8" ht="22.5" customHeight="1">
      <c r="A155" s="23"/>
      <c r="B155" s="34"/>
      <c r="C155" s="21"/>
      <c r="D155" s="24"/>
      <c r="E155" s="24"/>
      <c r="F155" s="25"/>
      <c r="G155" s="57">
        <f t="shared" si="8"/>
        <v>0</v>
      </c>
      <c r="H155" s="58">
        <f t="shared" si="10"/>
        <v>9603.7800000000007</v>
      </c>
    </row>
    <row r="156" spans="1:8" ht="22.5" customHeight="1">
      <c r="A156" s="23"/>
      <c r="B156" s="34"/>
      <c r="C156" s="21"/>
      <c r="D156" s="24"/>
      <c r="E156" s="24"/>
      <c r="F156" s="25"/>
      <c r="G156" s="57">
        <f t="shared" si="8"/>
        <v>0</v>
      </c>
      <c r="H156" s="58">
        <f t="shared" si="10"/>
        <v>9603.7800000000007</v>
      </c>
    </row>
    <row r="157" spans="1:8" ht="22.5" customHeight="1">
      <c r="A157" s="23"/>
      <c r="B157" s="34"/>
      <c r="C157" s="21"/>
      <c r="D157" s="24"/>
      <c r="E157" s="24"/>
      <c r="F157" s="25"/>
      <c r="G157" s="57">
        <f t="shared" si="8"/>
        <v>0</v>
      </c>
      <c r="H157" s="58">
        <f t="shared" si="10"/>
        <v>9603.7800000000007</v>
      </c>
    </row>
    <row r="158" spans="1:8" ht="22.5" customHeight="1">
      <c r="A158" s="23"/>
      <c r="B158" s="34"/>
      <c r="C158" s="21"/>
      <c r="D158" s="24"/>
      <c r="E158" s="24"/>
      <c r="F158" s="25"/>
      <c r="G158" s="57">
        <f t="shared" si="8"/>
        <v>0</v>
      </c>
      <c r="H158" s="58">
        <f t="shared" si="10"/>
        <v>9603.7800000000007</v>
      </c>
    </row>
    <row r="159" spans="1:8" ht="22.5" customHeight="1">
      <c r="A159" s="23"/>
      <c r="B159" s="34"/>
      <c r="C159" s="21"/>
      <c r="D159" s="24"/>
      <c r="E159" s="24"/>
      <c r="F159" s="25"/>
      <c r="G159" s="57">
        <f t="shared" si="8"/>
        <v>0</v>
      </c>
      <c r="H159" s="58">
        <f t="shared" si="10"/>
        <v>9603.7800000000007</v>
      </c>
    </row>
    <row r="160" spans="1:8" ht="22.5" customHeight="1">
      <c r="A160" s="23"/>
      <c r="B160" s="34"/>
      <c r="C160" s="21"/>
      <c r="D160" s="24"/>
      <c r="E160" s="24"/>
      <c r="F160" s="25"/>
      <c r="G160" s="57">
        <f t="shared" si="8"/>
        <v>0</v>
      </c>
      <c r="H160" s="58">
        <f t="shared" si="10"/>
        <v>9603.7800000000007</v>
      </c>
    </row>
    <row r="161" spans="1:8" ht="22.5" customHeight="1">
      <c r="A161" s="23"/>
      <c r="B161" s="34"/>
      <c r="C161" s="21"/>
      <c r="D161" s="24"/>
      <c r="E161" s="24"/>
      <c r="F161" s="25"/>
      <c r="G161" s="57">
        <f t="shared" si="8"/>
        <v>0</v>
      </c>
      <c r="H161" s="58">
        <f t="shared" si="10"/>
        <v>9603.7800000000007</v>
      </c>
    </row>
    <row r="162" spans="1:8" ht="22.5" customHeight="1">
      <c r="A162" s="23"/>
      <c r="B162" s="34"/>
      <c r="C162" s="21"/>
      <c r="D162" s="24"/>
      <c r="E162" s="24"/>
      <c r="F162" s="25"/>
      <c r="G162" s="57">
        <f t="shared" si="8"/>
        <v>0</v>
      </c>
      <c r="H162" s="58">
        <f t="shared" si="10"/>
        <v>9603.7800000000007</v>
      </c>
    </row>
    <row r="163" spans="1:8" ht="22.5" customHeight="1">
      <c r="A163" s="23"/>
      <c r="B163" s="34"/>
      <c r="C163" s="21"/>
      <c r="D163" s="24"/>
      <c r="E163" s="24"/>
      <c r="F163" s="25"/>
      <c r="G163" s="57">
        <f t="shared" si="8"/>
        <v>0</v>
      </c>
      <c r="H163" s="58">
        <f t="shared" si="10"/>
        <v>9603.7800000000007</v>
      </c>
    </row>
    <row r="164" spans="1:8" ht="22.5" customHeight="1">
      <c r="A164" s="23"/>
      <c r="B164" s="34"/>
      <c r="C164" s="21"/>
      <c r="D164" s="24"/>
      <c r="E164" s="24"/>
      <c r="F164" s="25"/>
      <c r="G164" s="57">
        <f t="shared" si="8"/>
        <v>0</v>
      </c>
      <c r="H164" s="58">
        <f t="shared" si="10"/>
        <v>9603.7800000000007</v>
      </c>
    </row>
    <row r="165" spans="1:8" ht="22.5" customHeight="1">
      <c r="A165" s="23"/>
      <c r="B165" s="34"/>
      <c r="C165" s="21"/>
      <c r="D165" s="24"/>
      <c r="E165" s="24"/>
      <c r="F165" s="25"/>
      <c r="G165" s="57">
        <f t="shared" si="8"/>
        <v>0</v>
      </c>
      <c r="H165" s="58">
        <f t="shared" si="10"/>
        <v>9603.7800000000007</v>
      </c>
    </row>
    <row r="166" spans="1:8" ht="22.5" customHeight="1">
      <c r="A166" s="23"/>
      <c r="B166" s="34"/>
      <c r="C166" s="21"/>
      <c r="D166" s="24"/>
      <c r="E166" s="24"/>
      <c r="F166" s="25"/>
      <c r="G166" s="57">
        <f t="shared" si="8"/>
        <v>0</v>
      </c>
      <c r="H166" s="58">
        <f t="shared" si="10"/>
        <v>9603.7800000000007</v>
      </c>
    </row>
    <row r="167" spans="1:8" ht="22.5" customHeight="1">
      <c r="A167" s="23"/>
      <c r="B167" s="34"/>
      <c r="C167" s="21"/>
      <c r="D167" s="24"/>
      <c r="E167" s="24"/>
      <c r="F167" s="25"/>
      <c r="G167" s="57">
        <f t="shared" ref="G167:G198" si="11">IF(A167="Despesas",E167*-1,IF(A167="Receitas",E167,0))</f>
        <v>0</v>
      </c>
      <c r="H167" s="58">
        <f t="shared" si="10"/>
        <v>9603.7800000000007</v>
      </c>
    </row>
    <row r="168" spans="1:8" ht="22.5" customHeight="1">
      <c r="A168" s="23"/>
      <c r="B168" s="34"/>
      <c r="C168" s="21"/>
      <c r="D168" s="24"/>
      <c r="E168" s="24"/>
      <c r="F168" s="25"/>
      <c r="G168" s="57">
        <f t="shared" si="11"/>
        <v>0</v>
      </c>
      <c r="H168" s="58">
        <f t="shared" si="10"/>
        <v>9603.7800000000007</v>
      </c>
    </row>
    <row r="169" spans="1:8" ht="22.5" customHeight="1">
      <c r="A169" s="23"/>
      <c r="B169" s="34"/>
      <c r="C169" s="21"/>
      <c r="D169" s="24"/>
      <c r="E169" s="24"/>
      <c r="F169" s="25"/>
      <c r="G169" s="57">
        <f t="shared" si="11"/>
        <v>0</v>
      </c>
      <c r="H169" s="58">
        <f t="shared" si="10"/>
        <v>9603.7800000000007</v>
      </c>
    </row>
    <row r="170" spans="1:8" ht="22.5" customHeight="1">
      <c r="A170" s="23"/>
      <c r="B170" s="34"/>
      <c r="C170" s="21"/>
      <c r="D170" s="24"/>
      <c r="E170" s="24"/>
      <c r="F170" s="25"/>
      <c r="G170" s="57">
        <f t="shared" si="11"/>
        <v>0</v>
      </c>
      <c r="H170" s="58">
        <f t="shared" si="10"/>
        <v>9603.7800000000007</v>
      </c>
    </row>
    <row r="171" spans="1:8" ht="22.5" customHeight="1">
      <c r="A171" s="23"/>
      <c r="B171" s="34"/>
      <c r="C171" s="21"/>
      <c r="D171" s="24"/>
      <c r="E171" s="24"/>
      <c r="F171" s="25"/>
      <c r="G171" s="57">
        <f t="shared" si="11"/>
        <v>0</v>
      </c>
      <c r="H171" s="58">
        <f t="shared" si="10"/>
        <v>9603.7800000000007</v>
      </c>
    </row>
    <row r="172" spans="1:8" ht="22.5" customHeight="1">
      <c r="A172" s="23"/>
      <c r="B172" s="34"/>
      <c r="C172" s="21"/>
      <c r="D172" s="24"/>
      <c r="E172" s="24"/>
      <c r="F172" s="25"/>
      <c r="G172" s="57">
        <f t="shared" si="11"/>
        <v>0</v>
      </c>
      <c r="H172" s="58">
        <f t="shared" si="10"/>
        <v>9603.7800000000007</v>
      </c>
    </row>
    <row r="173" spans="1:8" ht="22.5" customHeight="1">
      <c r="A173" s="23"/>
      <c r="B173" s="34"/>
      <c r="C173" s="21"/>
      <c r="D173" s="24"/>
      <c r="E173" s="24"/>
      <c r="F173" s="25"/>
      <c r="G173" s="57">
        <f t="shared" si="11"/>
        <v>0</v>
      </c>
      <c r="H173" s="58">
        <f t="shared" si="10"/>
        <v>9603.7800000000007</v>
      </c>
    </row>
    <row r="174" spans="1:8" ht="22.5" customHeight="1">
      <c r="A174" s="23"/>
      <c r="B174" s="34"/>
      <c r="C174" s="21"/>
      <c r="D174" s="24"/>
      <c r="E174" s="24"/>
      <c r="F174" s="25"/>
      <c r="G174" s="57">
        <f t="shared" si="11"/>
        <v>0</v>
      </c>
      <c r="H174" s="58">
        <f t="shared" si="10"/>
        <v>9603.7800000000007</v>
      </c>
    </row>
    <row r="175" spans="1:8" ht="22.5" customHeight="1">
      <c r="A175" s="23"/>
      <c r="B175" s="34"/>
      <c r="C175" s="21"/>
      <c r="D175" s="24"/>
      <c r="E175" s="24"/>
      <c r="F175" s="25"/>
      <c r="G175" s="57">
        <f t="shared" si="11"/>
        <v>0</v>
      </c>
      <c r="H175" s="58">
        <f t="shared" si="10"/>
        <v>9603.7800000000007</v>
      </c>
    </row>
    <row r="176" spans="1:8" ht="22.5" customHeight="1">
      <c r="A176" s="23"/>
      <c r="B176" s="34"/>
      <c r="C176" s="21"/>
      <c r="D176" s="24"/>
      <c r="E176" s="24"/>
      <c r="F176" s="25"/>
      <c r="G176" s="57">
        <f t="shared" si="11"/>
        <v>0</v>
      </c>
      <c r="H176" s="58">
        <f t="shared" si="10"/>
        <v>9603.7800000000007</v>
      </c>
    </row>
    <row r="177" spans="1:8" ht="22.5" customHeight="1">
      <c r="A177" s="23"/>
      <c r="B177" s="34"/>
      <c r="C177" s="21"/>
      <c r="D177" s="24"/>
      <c r="E177" s="24"/>
      <c r="F177" s="25"/>
      <c r="G177" s="57">
        <f t="shared" si="11"/>
        <v>0</v>
      </c>
      <c r="H177" s="58">
        <f t="shared" si="10"/>
        <v>9603.7800000000007</v>
      </c>
    </row>
    <row r="178" spans="1:8" ht="22.5" customHeight="1">
      <c r="A178" s="23"/>
      <c r="B178" s="34"/>
      <c r="C178" s="21"/>
      <c r="D178" s="24"/>
      <c r="E178" s="24"/>
      <c r="F178" s="25"/>
      <c r="G178" s="57">
        <f t="shared" si="11"/>
        <v>0</v>
      </c>
      <c r="H178" s="58">
        <f t="shared" si="10"/>
        <v>9603.7800000000007</v>
      </c>
    </row>
    <row r="179" spans="1:8" ht="22.5" customHeight="1">
      <c r="A179" s="23"/>
      <c r="B179" s="34"/>
      <c r="C179" s="21"/>
      <c r="D179" s="24"/>
      <c r="E179" s="24"/>
      <c r="F179" s="25"/>
      <c r="G179" s="57">
        <f t="shared" si="11"/>
        <v>0</v>
      </c>
      <c r="H179" s="58">
        <f t="shared" si="10"/>
        <v>9603.7800000000007</v>
      </c>
    </row>
    <row r="180" spans="1:8" ht="22.5" customHeight="1">
      <c r="A180" s="23"/>
      <c r="B180" s="34"/>
      <c r="C180" s="21"/>
      <c r="D180" s="24"/>
      <c r="E180" s="24"/>
      <c r="F180" s="25"/>
      <c r="G180" s="57">
        <f t="shared" si="11"/>
        <v>0</v>
      </c>
      <c r="H180" s="58">
        <f t="shared" si="10"/>
        <v>9603.7800000000007</v>
      </c>
    </row>
    <row r="181" spans="1:8" ht="22.5" customHeight="1">
      <c r="A181" s="23"/>
      <c r="B181" s="34"/>
      <c r="C181" s="21"/>
      <c r="D181" s="24"/>
      <c r="E181" s="24"/>
      <c r="F181" s="25"/>
      <c r="G181" s="57">
        <f t="shared" si="11"/>
        <v>0</v>
      </c>
      <c r="H181" s="58">
        <f t="shared" si="10"/>
        <v>9603.7800000000007</v>
      </c>
    </row>
    <row r="182" spans="1:8" ht="22.5" customHeight="1">
      <c r="A182" s="23"/>
      <c r="B182" s="34"/>
      <c r="C182" s="21"/>
      <c r="D182" s="24"/>
      <c r="E182" s="24"/>
      <c r="F182" s="25"/>
      <c r="G182" s="57">
        <f t="shared" si="11"/>
        <v>0</v>
      </c>
      <c r="H182" s="58">
        <f t="shared" si="10"/>
        <v>9603.7800000000007</v>
      </c>
    </row>
    <row r="183" spans="1:8" ht="22.5" customHeight="1">
      <c r="A183" s="23"/>
      <c r="B183" s="34"/>
      <c r="C183" s="21"/>
      <c r="D183" s="24"/>
      <c r="E183" s="24"/>
      <c r="F183" s="25"/>
      <c r="G183" s="57">
        <f t="shared" si="11"/>
        <v>0</v>
      </c>
      <c r="H183" s="58">
        <f t="shared" si="10"/>
        <v>9603.7800000000007</v>
      </c>
    </row>
    <row r="184" spans="1:8" ht="22.5" customHeight="1">
      <c r="A184" s="23"/>
      <c r="B184" s="34"/>
      <c r="C184" s="21"/>
      <c r="D184" s="24"/>
      <c r="E184" s="24"/>
      <c r="F184" s="25"/>
      <c r="G184" s="57">
        <f t="shared" si="11"/>
        <v>0</v>
      </c>
      <c r="H184" s="58">
        <f t="shared" si="10"/>
        <v>9603.7800000000007</v>
      </c>
    </row>
    <row r="185" spans="1:8" ht="22.5" customHeight="1">
      <c r="A185" s="23"/>
      <c r="B185" s="34"/>
      <c r="C185" s="21"/>
      <c r="D185" s="24"/>
      <c r="E185" s="24"/>
      <c r="F185" s="25"/>
      <c r="G185" s="57">
        <f t="shared" si="11"/>
        <v>0</v>
      </c>
      <c r="H185" s="58">
        <f t="shared" si="10"/>
        <v>9603.7800000000007</v>
      </c>
    </row>
    <row r="186" spans="1:8" ht="22.5" customHeight="1">
      <c r="A186" s="23"/>
      <c r="B186" s="34"/>
      <c r="C186" s="21"/>
      <c r="D186" s="24"/>
      <c r="E186" s="24"/>
      <c r="F186" s="25"/>
      <c r="G186" s="57">
        <f t="shared" si="11"/>
        <v>0</v>
      </c>
      <c r="H186" s="58">
        <f t="shared" si="10"/>
        <v>9603.7800000000007</v>
      </c>
    </row>
    <row r="187" spans="1:8" ht="22.5" customHeight="1">
      <c r="A187" s="23"/>
      <c r="B187" s="34"/>
      <c r="C187" s="21"/>
      <c r="D187" s="24"/>
      <c r="E187" s="24"/>
      <c r="F187" s="25"/>
      <c r="G187" s="57">
        <f t="shared" si="11"/>
        <v>0</v>
      </c>
      <c r="H187" s="58">
        <f t="shared" si="10"/>
        <v>9603.7800000000007</v>
      </c>
    </row>
    <row r="188" spans="1:8" ht="22.5" customHeight="1">
      <c r="A188" s="23"/>
      <c r="B188" s="34"/>
      <c r="C188" s="21"/>
      <c r="D188" s="24"/>
      <c r="E188" s="24"/>
      <c r="F188" s="25"/>
      <c r="G188" s="57">
        <f t="shared" si="11"/>
        <v>0</v>
      </c>
      <c r="H188" s="58">
        <f t="shared" si="10"/>
        <v>9603.7800000000007</v>
      </c>
    </row>
    <row r="189" spans="1:8" ht="22.5" customHeight="1">
      <c r="A189" s="23"/>
      <c r="B189" s="34"/>
      <c r="C189" s="21"/>
      <c r="D189" s="24"/>
      <c r="E189" s="24"/>
      <c r="F189" s="25"/>
      <c r="G189" s="57">
        <f t="shared" si="11"/>
        <v>0</v>
      </c>
      <c r="H189" s="58">
        <f t="shared" si="10"/>
        <v>9603.7800000000007</v>
      </c>
    </row>
    <row r="190" spans="1:8" ht="22.5" customHeight="1">
      <c r="A190" s="23"/>
      <c r="B190" s="34"/>
      <c r="C190" s="21"/>
      <c r="D190" s="24"/>
      <c r="E190" s="24"/>
      <c r="F190" s="25"/>
      <c r="G190" s="57">
        <f t="shared" si="11"/>
        <v>0</v>
      </c>
      <c r="H190" s="58">
        <f t="shared" si="10"/>
        <v>9603.7800000000007</v>
      </c>
    </row>
    <row r="191" spans="1:8" ht="22.5" customHeight="1">
      <c r="A191" s="23"/>
      <c r="B191" s="34"/>
      <c r="C191" s="21"/>
      <c r="D191" s="24"/>
      <c r="E191" s="24"/>
      <c r="F191" s="25"/>
      <c r="G191" s="57">
        <f t="shared" si="11"/>
        <v>0</v>
      </c>
      <c r="H191" s="58">
        <f t="shared" si="10"/>
        <v>9603.7800000000007</v>
      </c>
    </row>
    <row r="192" spans="1:8" ht="22.5" customHeight="1">
      <c r="A192" s="23"/>
      <c r="B192" s="34"/>
      <c r="C192" s="21"/>
      <c r="D192" s="24"/>
      <c r="E192" s="24"/>
      <c r="F192" s="25"/>
      <c r="G192" s="57">
        <f t="shared" si="11"/>
        <v>0</v>
      </c>
      <c r="H192" s="58">
        <f t="shared" si="10"/>
        <v>9603.7800000000007</v>
      </c>
    </row>
    <row r="193" spans="1:8" ht="22.5" customHeight="1">
      <c r="A193" s="23"/>
      <c r="B193" s="34"/>
      <c r="C193" s="21"/>
      <c r="D193" s="24"/>
      <c r="E193" s="24"/>
      <c r="F193" s="25"/>
      <c r="G193" s="57">
        <f t="shared" si="11"/>
        <v>0</v>
      </c>
      <c r="H193" s="58">
        <f t="shared" si="10"/>
        <v>9603.7800000000007</v>
      </c>
    </row>
    <row r="194" spans="1:8" ht="22.5" customHeight="1">
      <c r="A194" s="23"/>
      <c r="B194" s="34"/>
      <c r="C194" s="21"/>
      <c r="D194" s="24"/>
      <c r="E194" s="24"/>
      <c r="F194" s="25"/>
      <c r="G194" s="57">
        <f t="shared" si="11"/>
        <v>0</v>
      </c>
      <c r="H194" s="58">
        <f t="shared" si="10"/>
        <v>9603.7800000000007</v>
      </c>
    </row>
    <row r="195" spans="1:8" ht="22.5" customHeight="1">
      <c r="A195" s="23"/>
      <c r="B195" s="34"/>
      <c r="C195" s="21"/>
      <c r="D195" s="24"/>
      <c r="E195" s="24"/>
      <c r="F195" s="25"/>
      <c r="G195" s="57">
        <f t="shared" si="11"/>
        <v>0</v>
      </c>
      <c r="H195" s="58">
        <f t="shared" si="10"/>
        <v>9603.7800000000007</v>
      </c>
    </row>
    <row r="196" spans="1:8" ht="22.5" customHeight="1">
      <c r="A196" s="23"/>
      <c r="B196" s="34"/>
      <c r="C196" s="21"/>
      <c r="D196" s="24"/>
      <c r="E196" s="24"/>
      <c r="F196" s="25"/>
      <c r="G196" s="57">
        <f t="shared" si="11"/>
        <v>0</v>
      </c>
      <c r="H196" s="58">
        <f t="shared" si="10"/>
        <v>9603.7800000000007</v>
      </c>
    </row>
    <row r="197" spans="1:8" ht="22.5" customHeight="1">
      <c r="A197" s="23"/>
      <c r="B197" s="34"/>
      <c r="C197" s="21"/>
      <c r="D197" s="24"/>
      <c r="E197" s="24"/>
      <c r="F197" s="25"/>
      <c r="G197" s="57">
        <f t="shared" si="11"/>
        <v>0</v>
      </c>
      <c r="H197" s="58">
        <f t="shared" si="10"/>
        <v>9603.7800000000007</v>
      </c>
    </row>
    <row r="198" spans="1:8" ht="22.5" customHeight="1">
      <c r="A198" s="23"/>
      <c r="B198" s="34"/>
      <c r="C198" s="21"/>
      <c r="D198" s="24"/>
      <c r="E198" s="24"/>
      <c r="F198" s="25"/>
      <c r="G198" s="57">
        <f t="shared" si="11"/>
        <v>0</v>
      </c>
      <c r="H198" s="58">
        <f t="shared" si="10"/>
        <v>9603.7800000000007</v>
      </c>
    </row>
    <row r="199" spans="1:8" ht="22.5" customHeight="1">
      <c r="A199" s="23"/>
      <c r="B199" s="34"/>
      <c r="C199" s="21"/>
      <c r="D199" s="24"/>
      <c r="E199" s="24"/>
      <c r="F199" s="25"/>
      <c r="G199" s="57">
        <f t="shared" ref="G199:G206" si="12">IF(A199="Despesas",E199*-1,IF(A199="Receitas",E199,0))</f>
        <v>0</v>
      </c>
      <c r="H199" s="58">
        <f t="shared" si="10"/>
        <v>9603.7800000000007</v>
      </c>
    </row>
    <row r="200" spans="1:8" ht="22.5" customHeight="1">
      <c r="A200" s="23"/>
      <c r="B200" s="34"/>
      <c r="C200" s="21"/>
      <c r="D200" s="24"/>
      <c r="E200" s="24"/>
      <c r="F200" s="25"/>
      <c r="G200" s="57">
        <f t="shared" si="12"/>
        <v>0</v>
      </c>
      <c r="H200" s="58">
        <f t="shared" si="10"/>
        <v>9603.7800000000007</v>
      </c>
    </row>
    <row r="201" spans="1:8" ht="22.5" customHeight="1">
      <c r="A201" s="23"/>
      <c r="B201" s="34"/>
      <c r="C201" s="21"/>
      <c r="D201" s="24"/>
      <c r="E201" s="24"/>
      <c r="F201" s="25"/>
      <c r="G201" s="57">
        <f t="shared" si="12"/>
        <v>0</v>
      </c>
      <c r="H201" s="58">
        <f t="shared" si="10"/>
        <v>9603.7800000000007</v>
      </c>
    </row>
    <row r="202" spans="1:8" ht="22.5" customHeight="1">
      <c r="A202" s="23"/>
      <c r="B202" s="34"/>
      <c r="C202" s="21"/>
      <c r="D202" s="24"/>
      <c r="E202" s="24"/>
      <c r="F202" s="25"/>
      <c r="G202" s="57">
        <f t="shared" si="12"/>
        <v>0</v>
      </c>
      <c r="H202" s="58">
        <f t="shared" si="10"/>
        <v>9603.7800000000007</v>
      </c>
    </row>
    <row r="203" spans="1:8" ht="22.5" customHeight="1">
      <c r="A203" s="23"/>
      <c r="B203" s="34"/>
      <c r="C203" s="21"/>
      <c r="D203" s="24"/>
      <c r="E203" s="24"/>
      <c r="F203" s="25"/>
      <c r="G203" s="57">
        <f t="shared" si="12"/>
        <v>0</v>
      </c>
      <c r="H203" s="58">
        <f t="shared" si="10"/>
        <v>9603.7800000000007</v>
      </c>
    </row>
    <row r="204" spans="1:8" ht="22.5" customHeight="1">
      <c r="A204" s="23"/>
      <c r="B204" s="34"/>
      <c r="C204" s="21"/>
      <c r="D204" s="24"/>
      <c r="E204" s="24"/>
      <c r="F204" s="25"/>
      <c r="G204" s="57">
        <f t="shared" si="12"/>
        <v>0</v>
      </c>
      <c r="H204" s="58">
        <f t="shared" si="10"/>
        <v>9603.7800000000007</v>
      </c>
    </row>
    <row r="205" spans="1:8" ht="22.5" customHeight="1">
      <c r="A205" s="23"/>
      <c r="B205" s="34"/>
      <c r="C205" s="21"/>
      <c r="D205" s="24"/>
      <c r="E205" s="24"/>
      <c r="F205" s="25"/>
      <c r="G205" s="57">
        <f t="shared" si="12"/>
        <v>0</v>
      </c>
      <c r="H205" s="58">
        <f t="shared" si="10"/>
        <v>9603.7800000000007</v>
      </c>
    </row>
    <row r="206" spans="1:8" ht="22.5" customHeight="1">
      <c r="A206" s="23"/>
      <c r="B206" s="34"/>
      <c r="C206" s="21"/>
      <c r="D206" s="24"/>
      <c r="E206" s="24"/>
      <c r="F206" s="25"/>
      <c r="G206" s="57">
        <f t="shared" si="12"/>
        <v>0</v>
      </c>
      <c r="H206" s="58">
        <f t="shared" si="10"/>
        <v>9603.7800000000007</v>
      </c>
    </row>
    <row r="207" spans="1:8" ht="22.5" customHeight="1">
      <c r="A207" s="54" t="s">
        <v>71</v>
      </c>
      <c r="B207" s="34" t="s">
        <v>72</v>
      </c>
      <c r="C207" s="54" t="s">
        <v>71</v>
      </c>
      <c r="D207" s="54" t="s">
        <v>71</v>
      </c>
      <c r="E207" s="54" t="s">
        <v>71</v>
      </c>
      <c r="F207" s="54" t="s">
        <v>71</v>
      </c>
      <c r="G207" s="59" t="s">
        <v>71</v>
      </c>
      <c r="H207" s="60" t="s">
        <v>72</v>
      </c>
    </row>
  </sheetData>
  <mergeCells count="4">
    <mergeCell ref="A1:A4"/>
    <mergeCell ref="C1:E3"/>
    <mergeCell ref="H2:H3"/>
    <mergeCell ref="F1:F3"/>
  </mergeCells>
  <conditionalFormatting sqref="H7:H207">
    <cfRule type="cellIs" dxfId="11" priority="1" operator="lessThan">
      <formula>0</formula>
    </cfRule>
  </conditionalFormatting>
  <dataValidations count="6">
    <dataValidation type="custom" allowBlank="1" showDropDown="1" sqref="F6:F206" xr:uid="{00000000-0002-0000-0200-000000000000}">
      <formula1>OR(NOT(ISERROR(DATEVALUE(F6))), AND(ISNUMBER(F6), LEFT(CELL("format", F6))="D"))</formula1>
    </dataValidation>
    <dataValidation type="list" allowBlank="1" sqref="A7:A206 A6:B6" xr:uid="{00000000-0002-0000-0200-000001000000}">
      <formula1>"Receitas,Despesas"</formula1>
    </dataValidation>
    <dataValidation type="list" allowBlank="1" sqref="C207:G207 A207 C6" xr:uid="{00000000-0002-0000-0200-000002000000}">
      <formula1>#REF!</formula1>
    </dataValidation>
    <dataValidation type="list" allowBlank="1" sqref="B207" xr:uid="{2839355A-7F04-4611-A048-12D07C9F936A}">
      <formula1>INDIRECT($A$7)</formula1>
    </dataValidation>
    <dataValidation type="list" allowBlank="1" sqref="B7:B206" xr:uid="{2015AFF6-7699-4D9A-A350-C4B8B5913205}">
      <formula1>INDIRECT(A7)</formula1>
    </dataValidation>
    <dataValidation type="list" allowBlank="1" sqref="C7:C206" xr:uid="{C569D9E2-6F06-4489-A845-8429DA1288D8}">
      <formula1>Bancos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AFE1-3E88-4498-BF35-D4BE9E56D958}">
  <sheetPr>
    <outlinePr summaryBelow="0" summaryRight="0"/>
  </sheetPr>
  <dimension ref="A1:J207"/>
  <sheetViews>
    <sheetView showGridLines="0" workbookViewId="0">
      <selection activeCell="E8" sqref="E8"/>
    </sheetView>
  </sheetViews>
  <sheetFormatPr defaultColWidth="12.5703125" defaultRowHeight="15.75" customHeight="1"/>
  <cols>
    <col min="1" max="1" width="9.28515625" style="27" bestFit="1" customWidth="1"/>
    <col min="2" max="2" width="30.85546875" style="27" bestFit="1" customWidth="1"/>
    <col min="3" max="3" width="20.85546875" style="27" bestFit="1" customWidth="1"/>
    <col min="4" max="4" width="13.85546875" style="27" bestFit="1" customWidth="1"/>
    <col min="5" max="5" width="11.7109375" bestFit="1" customWidth="1"/>
    <col min="6" max="6" width="16.28515625" style="27" customWidth="1"/>
    <col min="7" max="7" width="11.7109375" style="27" hidden="1" customWidth="1"/>
    <col min="8" max="8" width="22.5703125" style="33" bestFit="1" customWidth="1"/>
    <col min="9" max="10" width="12.5703125" style="27" hidden="1" customWidth="1"/>
  </cols>
  <sheetData>
    <row r="1" spans="1:8" ht="19.5" customHeight="1">
      <c r="A1" s="70"/>
      <c r="B1" s="13"/>
      <c r="C1" s="74" t="s">
        <v>54</v>
      </c>
      <c r="D1" s="66"/>
      <c r="E1" s="62"/>
      <c r="F1" s="73" t="s">
        <v>44</v>
      </c>
      <c r="G1" s="14"/>
      <c r="H1" s="35" t="s">
        <v>43</v>
      </c>
    </row>
    <row r="2" spans="1:8" ht="12.75" customHeight="1">
      <c r="A2" s="66"/>
      <c r="B2" s="15"/>
      <c r="C2" s="66"/>
      <c r="D2" s="66"/>
      <c r="E2" s="62"/>
      <c r="F2" s="73"/>
      <c r="G2" s="14"/>
      <c r="H2" s="72">
        <f>JAN!H206</f>
        <v>9603.7800000000007</v>
      </c>
    </row>
    <row r="3" spans="1:8" ht="23.25" customHeight="1">
      <c r="A3" s="66"/>
      <c r="B3" s="12"/>
      <c r="C3" s="66"/>
      <c r="D3" s="66"/>
      <c r="E3" s="62"/>
      <c r="F3" s="73"/>
      <c r="G3" s="14"/>
      <c r="H3" s="72"/>
    </row>
    <row r="4" spans="1:8" ht="12.75">
      <c r="A4" s="66"/>
      <c r="B4" s="13"/>
      <c r="C4" s="16"/>
      <c r="D4" s="16"/>
      <c r="E4" s="16"/>
      <c r="F4" s="14"/>
      <c r="G4" s="14"/>
      <c r="H4" s="31"/>
    </row>
    <row r="5" spans="1:8" ht="22.5" customHeight="1">
      <c r="A5" s="28" t="s">
        <v>45</v>
      </c>
      <c r="B5" s="29" t="s">
        <v>46</v>
      </c>
      <c r="C5" s="30" t="s">
        <v>47</v>
      </c>
      <c r="D5" s="29" t="s">
        <v>48</v>
      </c>
      <c r="E5" s="36" t="s">
        <v>49</v>
      </c>
      <c r="F5" s="29" t="s">
        <v>50</v>
      </c>
      <c r="G5" s="32" t="s">
        <v>67</v>
      </c>
      <c r="H5" s="36" t="s">
        <v>51</v>
      </c>
    </row>
    <row r="6" spans="1:8" ht="22.5" customHeight="1">
      <c r="A6" s="26"/>
      <c r="B6" s="26"/>
      <c r="C6" s="26"/>
      <c r="D6" s="26" t="s">
        <v>52</v>
      </c>
      <c r="E6" s="17">
        <f>H2</f>
        <v>9603.7800000000007</v>
      </c>
      <c r="F6" s="18">
        <v>46053</v>
      </c>
      <c r="G6" s="55">
        <f>E6</f>
        <v>9603.7800000000007</v>
      </c>
      <c r="H6" s="56">
        <f>E6</f>
        <v>9603.7800000000007</v>
      </c>
    </row>
    <row r="7" spans="1:8" ht="22.5" customHeight="1">
      <c r="A7" s="34" t="s">
        <v>1</v>
      </c>
      <c r="B7" s="34" t="s">
        <v>4</v>
      </c>
      <c r="C7" s="21"/>
      <c r="D7" s="22"/>
      <c r="E7" s="22">
        <v>5</v>
      </c>
      <c r="F7" s="19"/>
      <c r="G7" s="57">
        <f t="shared" ref="G7:G38" si="0">IF(A7="Despesas",E7*-1,IF(A7="Receitas",E7,0))</f>
        <v>5</v>
      </c>
      <c r="H7" s="58">
        <f t="shared" ref="H7:H38" si="1">H6+G7</f>
        <v>9608.7800000000007</v>
      </c>
    </row>
    <row r="8" spans="1:8" ht="22.5" customHeight="1">
      <c r="A8" s="34"/>
      <c r="B8" s="34"/>
      <c r="C8" s="21"/>
      <c r="D8" s="22"/>
      <c r="E8" s="22"/>
      <c r="F8" s="20"/>
      <c r="G8" s="57">
        <f t="shared" si="0"/>
        <v>0</v>
      </c>
      <c r="H8" s="58">
        <f t="shared" si="1"/>
        <v>9608.7800000000007</v>
      </c>
    </row>
    <row r="9" spans="1:8" ht="22.5" customHeight="1">
      <c r="A9" s="21"/>
      <c r="B9" s="34"/>
      <c r="C9" s="21"/>
      <c r="D9" s="22"/>
      <c r="E9" s="22"/>
      <c r="F9" s="19"/>
      <c r="G9" s="57">
        <f t="shared" si="0"/>
        <v>0</v>
      </c>
      <c r="H9" s="58">
        <f t="shared" si="1"/>
        <v>9608.7800000000007</v>
      </c>
    </row>
    <row r="10" spans="1:8" ht="22.5" customHeight="1">
      <c r="A10" s="21"/>
      <c r="B10" s="34"/>
      <c r="C10" s="21"/>
      <c r="D10" s="22"/>
      <c r="E10" s="22"/>
      <c r="F10" s="20"/>
      <c r="G10" s="57">
        <f t="shared" si="0"/>
        <v>0</v>
      </c>
      <c r="H10" s="58">
        <f t="shared" si="1"/>
        <v>9608.7800000000007</v>
      </c>
    </row>
    <row r="11" spans="1:8" ht="22.5" customHeight="1">
      <c r="A11" s="21"/>
      <c r="B11" s="34"/>
      <c r="C11" s="21"/>
      <c r="D11" s="22"/>
      <c r="E11" s="22"/>
      <c r="F11" s="19"/>
      <c r="G11" s="57">
        <f t="shared" si="0"/>
        <v>0</v>
      </c>
      <c r="H11" s="58">
        <f t="shared" si="1"/>
        <v>9608.7800000000007</v>
      </c>
    </row>
    <row r="12" spans="1:8" ht="22.5" customHeight="1">
      <c r="A12" s="21"/>
      <c r="B12" s="34"/>
      <c r="C12" s="21"/>
      <c r="D12" s="22"/>
      <c r="E12" s="22"/>
      <c r="F12" s="20"/>
      <c r="G12" s="57">
        <f t="shared" si="0"/>
        <v>0</v>
      </c>
      <c r="H12" s="58">
        <f t="shared" si="1"/>
        <v>9608.7800000000007</v>
      </c>
    </row>
    <row r="13" spans="1:8" ht="22.5" customHeight="1">
      <c r="A13" s="21"/>
      <c r="B13" s="34"/>
      <c r="C13" s="21"/>
      <c r="D13" s="22"/>
      <c r="E13" s="22"/>
      <c r="F13" s="19"/>
      <c r="G13" s="57">
        <f t="shared" si="0"/>
        <v>0</v>
      </c>
      <c r="H13" s="58">
        <f t="shared" si="1"/>
        <v>9608.7800000000007</v>
      </c>
    </row>
    <row r="14" spans="1:8" ht="22.5" customHeight="1">
      <c r="A14" s="21"/>
      <c r="B14" s="34"/>
      <c r="C14" s="21"/>
      <c r="D14" s="22"/>
      <c r="E14" s="22"/>
      <c r="F14" s="20"/>
      <c r="G14" s="57">
        <f t="shared" si="0"/>
        <v>0</v>
      </c>
      <c r="H14" s="58">
        <f t="shared" si="1"/>
        <v>9608.7800000000007</v>
      </c>
    </row>
    <row r="15" spans="1:8" ht="22.5" customHeight="1">
      <c r="A15" s="21"/>
      <c r="B15" s="34"/>
      <c r="C15" s="21"/>
      <c r="D15" s="22"/>
      <c r="E15" s="22"/>
      <c r="F15" s="19"/>
      <c r="G15" s="57">
        <f t="shared" si="0"/>
        <v>0</v>
      </c>
      <c r="H15" s="58">
        <f t="shared" si="1"/>
        <v>9608.7800000000007</v>
      </c>
    </row>
    <row r="16" spans="1:8" ht="22.5" customHeight="1">
      <c r="A16" s="21"/>
      <c r="B16" s="34"/>
      <c r="C16" s="21"/>
      <c r="D16" s="22"/>
      <c r="E16" s="22"/>
      <c r="F16" s="20"/>
      <c r="G16" s="57">
        <f t="shared" si="0"/>
        <v>0</v>
      </c>
      <c r="H16" s="58">
        <f t="shared" si="1"/>
        <v>9608.7800000000007</v>
      </c>
    </row>
    <row r="17" spans="1:8" ht="22.5" customHeight="1">
      <c r="A17" s="21"/>
      <c r="B17" s="34"/>
      <c r="C17" s="21"/>
      <c r="D17" s="22"/>
      <c r="E17" s="22"/>
      <c r="F17" s="19"/>
      <c r="G17" s="57">
        <f t="shared" si="0"/>
        <v>0</v>
      </c>
      <c r="H17" s="58">
        <f t="shared" si="1"/>
        <v>9608.7800000000007</v>
      </c>
    </row>
    <row r="18" spans="1:8" ht="22.5" customHeight="1">
      <c r="A18" s="21"/>
      <c r="B18" s="34"/>
      <c r="C18" s="21"/>
      <c r="D18" s="22"/>
      <c r="E18" s="22"/>
      <c r="F18" s="20"/>
      <c r="G18" s="57">
        <f t="shared" si="0"/>
        <v>0</v>
      </c>
      <c r="H18" s="58">
        <f t="shared" si="1"/>
        <v>9608.7800000000007</v>
      </c>
    </row>
    <row r="19" spans="1:8" ht="22.5" customHeight="1">
      <c r="A19" s="21"/>
      <c r="B19" s="34"/>
      <c r="C19" s="21"/>
      <c r="D19" s="22"/>
      <c r="E19" s="22"/>
      <c r="F19" s="19"/>
      <c r="G19" s="57">
        <f t="shared" si="0"/>
        <v>0</v>
      </c>
      <c r="H19" s="58">
        <f t="shared" si="1"/>
        <v>9608.7800000000007</v>
      </c>
    </row>
    <row r="20" spans="1:8" ht="22.5" customHeight="1">
      <c r="A20" s="21"/>
      <c r="B20" s="34"/>
      <c r="C20" s="21"/>
      <c r="D20" s="22"/>
      <c r="E20" s="22"/>
      <c r="F20" s="20"/>
      <c r="G20" s="57">
        <f t="shared" si="0"/>
        <v>0</v>
      </c>
      <c r="H20" s="58">
        <f t="shared" si="1"/>
        <v>9608.7800000000007</v>
      </c>
    </row>
    <row r="21" spans="1:8" ht="22.5" customHeight="1">
      <c r="A21" s="21"/>
      <c r="B21" s="34"/>
      <c r="C21" s="21"/>
      <c r="D21" s="22"/>
      <c r="E21" s="22"/>
      <c r="F21" s="19"/>
      <c r="G21" s="57">
        <f t="shared" si="0"/>
        <v>0</v>
      </c>
      <c r="H21" s="58">
        <f t="shared" si="1"/>
        <v>9608.7800000000007</v>
      </c>
    </row>
    <row r="22" spans="1:8" ht="22.5" customHeight="1">
      <c r="A22" s="21"/>
      <c r="B22" s="34"/>
      <c r="C22" s="21"/>
      <c r="D22" s="22"/>
      <c r="E22" s="22"/>
      <c r="F22" s="20"/>
      <c r="G22" s="57">
        <f t="shared" si="0"/>
        <v>0</v>
      </c>
      <c r="H22" s="58">
        <f t="shared" si="1"/>
        <v>9608.7800000000007</v>
      </c>
    </row>
    <row r="23" spans="1:8" ht="22.5" customHeight="1">
      <c r="A23" s="21"/>
      <c r="B23" s="34"/>
      <c r="C23" s="21"/>
      <c r="D23" s="22"/>
      <c r="E23" s="22"/>
      <c r="F23" s="19"/>
      <c r="G23" s="57">
        <f t="shared" si="0"/>
        <v>0</v>
      </c>
      <c r="H23" s="58">
        <f t="shared" si="1"/>
        <v>9608.7800000000007</v>
      </c>
    </row>
    <row r="24" spans="1:8" ht="22.5" customHeight="1">
      <c r="A24" s="21"/>
      <c r="B24" s="34"/>
      <c r="C24" s="21"/>
      <c r="D24" s="22"/>
      <c r="E24" s="22"/>
      <c r="F24" s="20"/>
      <c r="G24" s="57">
        <f t="shared" si="0"/>
        <v>0</v>
      </c>
      <c r="H24" s="58">
        <f t="shared" si="1"/>
        <v>9608.7800000000007</v>
      </c>
    </row>
    <row r="25" spans="1:8" ht="22.5" customHeight="1">
      <c r="A25" s="21"/>
      <c r="B25" s="34"/>
      <c r="C25" s="21"/>
      <c r="D25" s="22"/>
      <c r="E25" s="22"/>
      <c r="F25" s="19"/>
      <c r="G25" s="57">
        <f t="shared" si="0"/>
        <v>0</v>
      </c>
      <c r="H25" s="58">
        <f t="shared" si="1"/>
        <v>9608.7800000000007</v>
      </c>
    </row>
    <row r="26" spans="1:8" ht="22.5" customHeight="1">
      <c r="A26" s="21"/>
      <c r="B26" s="34"/>
      <c r="C26" s="21"/>
      <c r="D26" s="22"/>
      <c r="E26" s="22"/>
      <c r="F26" s="20"/>
      <c r="G26" s="57">
        <f t="shared" si="0"/>
        <v>0</v>
      </c>
      <c r="H26" s="58">
        <f t="shared" si="1"/>
        <v>9608.7800000000007</v>
      </c>
    </row>
    <row r="27" spans="1:8" ht="22.5" customHeight="1">
      <c r="A27" s="21"/>
      <c r="B27" s="34"/>
      <c r="C27" s="21"/>
      <c r="D27" s="22"/>
      <c r="E27" s="22"/>
      <c r="F27" s="19"/>
      <c r="G27" s="57">
        <f t="shared" si="0"/>
        <v>0</v>
      </c>
      <c r="H27" s="58">
        <f t="shared" si="1"/>
        <v>9608.7800000000007</v>
      </c>
    </row>
    <row r="28" spans="1:8" ht="22.5" customHeight="1">
      <c r="A28" s="21"/>
      <c r="B28" s="34"/>
      <c r="C28" s="21"/>
      <c r="D28" s="22"/>
      <c r="E28" s="22"/>
      <c r="F28" s="20"/>
      <c r="G28" s="57">
        <f t="shared" si="0"/>
        <v>0</v>
      </c>
      <c r="H28" s="58">
        <f t="shared" si="1"/>
        <v>9608.7800000000007</v>
      </c>
    </row>
    <row r="29" spans="1:8" ht="22.5" customHeight="1">
      <c r="A29" s="21"/>
      <c r="B29" s="34"/>
      <c r="C29" s="21"/>
      <c r="D29" s="22"/>
      <c r="E29" s="22"/>
      <c r="F29" s="19"/>
      <c r="G29" s="57">
        <f t="shared" si="0"/>
        <v>0</v>
      </c>
      <c r="H29" s="58">
        <f t="shared" si="1"/>
        <v>9608.7800000000007</v>
      </c>
    </row>
    <row r="30" spans="1:8" ht="22.5" customHeight="1">
      <c r="A30" s="21"/>
      <c r="B30" s="34"/>
      <c r="C30" s="21"/>
      <c r="D30" s="22"/>
      <c r="E30" s="22"/>
      <c r="F30" s="20"/>
      <c r="G30" s="57">
        <f t="shared" si="0"/>
        <v>0</v>
      </c>
      <c r="H30" s="58">
        <f t="shared" si="1"/>
        <v>9608.7800000000007</v>
      </c>
    </row>
    <row r="31" spans="1:8" ht="22.5" customHeight="1">
      <c r="A31" s="21"/>
      <c r="B31" s="34"/>
      <c r="C31" s="21"/>
      <c r="D31" s="22"/>
      <c r="E31" s="22"/>
      <c r="F31" s="19"/>
      <c r="G31" s="57">
        <f t="shared" si="0"/>
        <v>0</v>
      </c>
      <c r="H31" s="58">
        <f t="shared" si="1"/>
        <v>9608.7800000000007</v>
      </c>
    </row>
    <row r="32" spans="1:8" ht="22.5" customHeight="1">
      <c r="A32" s="21"/>
      <c r="B32" s="34"/>
      <c r="C32" s="21"/>
      <c r="D32" s="22"/>
      <c r="E32" s="22"/>
      <c r="F32" s="20"/>
      <c r="G32" s="57">
        <f t="shared" si="0"/>
        <v>0</v>
      </c>
      <c r="H32" s="58">
        <f t="shared" si="1"/>
        <v>9608.7800000000007</v>
      </c>
    </row>
    <row r="33" spans="1:8" ht="22.5" customHeight="1">
      <c r="A33" s="21"/>
      <c r="B33" s="34"/>
      <c r="C33" s="21"/>
      <c r="D33" s="22"/>
      <c r="E33" s="22"/>
      <c r="F33" s="19"/>
      <c r="G33" s="57">
        <f t="shared" si="0"/>
        <v>0</v>
      </c>
      <c r="H33" s="58">
        <f t="shared" si="1"/>
        <v>9608.7800000000007</v>
      </c>
    </row>
    <row r="34" spans="1:8" ht="22.5" customHeight="1">
      <c r="A34" s="23"/>
      <c r="B34" s="34"/>
      <c r="C34" s="21"/>
      <c r="D34" s="24"/>
      <c r="E34" s="24"/>
      <c r="F34" s="20"/>
      <c r="G34" s="57">
        <f t="shared" si="0"/>
        <v>0</v>
      </c>
      <c r="H34" s="58">
        <f t="shared" si="1"/>
        <v>9608.7800000000007</v>
      </c>
    </row>
    <row r="35" spans="1:8" ht="22.5" customHeight="1">
      <c r="A35" s="23"/>
      <c r="B35" s="34"/>
      <c r="C35" s="21"/>
      <c r="D35" s="24"/>
      <c r="E35" s="24"/>
      <c r="F35" s="19"/>
      <c r="G35" s="57">
        <f t="shared" si="0"/>
        <v>0</v>
      </c>
      <c r="H35" s="58">
        <f t="shared" si="1"/>
        <v>9608.7800000000007</v>
      </c>
    </row>
    <row r="36" spans="1:8" ht="22.5" customHeight="1">
      <c r="A36" s="23"/>
      <c r="B36" s="34"/>
      <c r="C36" s="21"/>
      <c r="D36" s="24"/>
      <c r="E36" s="24"/>
      <c r="F36" s="20"/>
      <c r="G36" s="57">
        <f t="shared" si="0"/>
        <v>0</v>
      </c>
      <c r="H36" s="58">
        <f t="shared" si="1"/>
        <v>9608.7800000000007</v>
      </c>
    </row>
    <row r="37" spans="1:8" ht="22.5" customHeight="1">
      <c r="A37" s="23"/>
      <c r="B37" s="34"/>
      <c r="C37" s="21"/>
      <c r="D37" s="24"/>
      <c r="E37" s="24"/>
      <c r="F37" s="19"/>
      <c r="G37" s="57">
        <f t="shared" si="0"/>
        <v>0</v>
      </c>
      <c r="H37" s="58">
        <f t="shared" si="1"/>
        <v>9608.7800000000007</v>
      </c>
    </row>
    <row r="38" spans="1:8" ht="22.5" customHeight="1">
      <c r="A38" s="23"/>
      <c r="B38" s="34"/>
      <c r="C38" s="21"/>
      <c r="D38" s="24"/>
      <c r="E38" s="24"/>
      <c r="F38" s="25"/>
      <c r="G38" s="57">
        <f t="shared" si="0"/>
        <v>0</v>
      </c>
      <c r="H38" s="58">
        <f t="shared" si="1"/>
        <v>9608.7800000000007</v>
      </c>
    </row>
    <row r="39" spans="1:8" ht="22.5" customHeight="1">
      <c r="A39" s="23"/>
      <c r="B39" s="34"/>
      <c r="C39" s="21"/>
      <c r="D39" s="24"/>
      <c r="E39" s="24"/>
      <c r="F39" s="25"/>
      <c r="G39" s="57">
        <f t="shared" ref="G39:G70" si="2">IF(A39="Despesas",E39*-1,IF(A39="Receitas",E39,0))</f>
        <v>0</v>
      </c>
      <c r="H39" s="58">
        <f t="shared" ref="H39:H70" si="3">H38+G39</f>
        <v>9608.7800000000007</v>
      </c>
    </row>
    <row r="40" spans="1:8" ht="22.5" customHeight="1">
      <c r="A40" s="23"/>
      <c r="B40" s="34"/>
      <c r="C40" s="21"/>
      <c r="D40" s="24"/>
      <c r="E40" s="24"/>
      <c r="F40" s="25"/>
      <c r="G40" s="57">
        <f t="shared" si="2"/>
        <v>0</v>
      </c>
      <c r="H40" s="58">
        <f t="shared" si="3"/>
        <v>9608.7800000000007</v>
      </c>
    </row>
    <row r="41" spans="1:8" ht="22.5" customHeight="1">
      <c r="A41" s="23"/>
      <c r="B41" s="34"/>
      <c r="C41" s="21"/>
      <c r="D41" s="24"/>
      <c r="E41" s="24"/>
      <c r="F41" s="25"/>
      <c r="G41" s="57">
        <f t="shared" si="2"/>
        <v>0</v>
      </c>
      <c r="H41" s="58">
        <f t="shared" si="3"/>
        <v>9608.7800000000007</v>
      </c>
    </row>
    <row r="42" spans="1:8" ht="22.5" customHeight="1">
      <c r="A42" s="23"/>
      <c r="B42" s="34"/>
      <c r="C42" s="21"/>
      <c r="D42" s="24"/>
      <c r="E42" s="24"/>
      <c r="F42" s="25"/>
      <c r="G42" s="57">
        <f t="shared" si="2"/>
        <v>0</v>
      </c>
      <c r="H42" s="58">
        <f t="shared" si="3"/>
        <v>9608.7800000000007</v>
      </c>
    </row>
    <row r="43" spans="1:8" ht="22.5" customHeight="1">
      <c r="A43" s="23"/>
      <c r="B43" s="34"/>
      <c r="C43" s="21"/>
      <c r="D43" s="24"/>
      <c r="E43" s="24"/>
      <c r="F43" s="25"/>
      <c r="G43" s="57">
        <f t="shared" si="2"/>
        <v>0</v>
      </c>
      <c r="H43" s="58">
        <f t="shared" si="3"/>
        <v>9608.7800000000007</v>
      </c>
    </row>
    <row r="44" spans="1:8" ht="22.5" customHeight="1">
      <c r="A44" s="23"/>
      <c r="B44" s="34"/>
      <c r="C44" s="21"/>
      <c r="D44" s="24"/>
      <c r="E44" s="24"/>
      <c r="F44" s="25"/>
      <c r="G44" s="57">
        <f t="shared" si="2"/>
        <v>0</v>
      </c>
      <c r="H44" s="58">
        <f t="shared" si="3"/>
        <v>9608.7800000000007</v>
      </c>
    </row>
    <row r="45" spans="1:8" ht="22.5" customHeight="1">
      <c r="A45" s="23"/>
      <c r="B45" s="34"/>
      <c r="C45" s="21"/>
      <c r="D45" s="24"/>
      <c r="E45" s="24"/>
      <c r="F45" s="25"/>
      <c r="G45" s="57">
        <f t="shared" si="2"/>
        <v>0</v>
      </c>
      <c r="H45" s="58">
        <f t="shared" si="3"/>
        <v>9608.7800000000007</v>
      </c>
    </row>
    <row r="46" spans="1:8" ht="22.5" customHeight="1">
      <c r="A46" s="23"/>
      <c r="B46" s="34"/>
      <c r="C46" s="21"/>
      <c r="D46" s="24"/>
      <c r="E46" s="24"/>
      <c r="F46" s="25"/>
      <c r="G46" s="57">
        <f t="shared" si="2"/>
        <v>0</v>
      </c>
      <c r="H46" s="58">
        <f t="shared" si="3"/>
        <v>9608.7800000000007</v>
      </c>
    </row>
    <row r="47" spans="1:8" ht="22.5" customHeight="1">
      <c r="A47" s="23"/>
      <c r="B47" s="34"/>
      <c r="C47" s="21"/>
      <c r="D47" s="24"/>
      <c r="E47" s="24"/>
      <c r="F47" s="25"/>
      <c r="G47" s="57">
        <f t="shared" si="2"/>
        <v>0</v>
      </c>
      <c r="H47" s="58">
        <f t="shared" si="3"/>
        <v>9608.7800000000007</v>
      </c>
    </row>
    <row r="48" spans="1:8" ht="22.5" customHeight="1">
      <c r="A48" s="23"/>
      <c r="B48" s="34"/>
      <c r="C48" s="21"/>
      <c r="D48" s="24"/>
      <c r="E48" s="24"/>
      <c r="F48" s="25"/>
      <c r="G48" s="57">
        <f t="shared" si="2"/>
        <v>0</v>
      </c>
      <c r="H48" s="58">
        <f t="shared" si="3"/>
        <v>9608.7800000000007</v>
      </c>
    </row>
    <row r="49" spans="1:8" ht="22.5" customHeight="1">
      <c r="A49" s="23"/>
      <c r="B49" s="34"/>
      <c r="C49" s="21"/>
      <c r="D49" s="24"/>
      <c r="E49" s="24"/>
      <c r="F49" s="25"/>
      <c r="G49" s="57">
        <f t="shared" si="2"/>
        <v>0</v>
      </c>
      <c r="H49" s="58">
        <f t="shared" si="3"/>
        <v>9608.7800000000007</v>
      </c>
    </row>
    <row r="50" spans="1:8" ht="22.5" customHeight="1">
      <c r="A50" s="23"/>
      <c r="B50" s="34"/>
      <c r="C50" s="21"/>
      <c r="D50" s="24"/>
      <c r="E50" s="24"/>
      <c r="F50" s="25"/>
      <c r="G50" s="57">
        <f t="shared" si="2"/>
        <v>0</v>
      </c>
      <c r="H50" s="58">
        <f t="shared" si="3"/>
        <v>9608.7800000000007</v>
      </c>
    </row>
    <row r="51" spans="1:8" ht="22.5" customHeight="1">
      <c r="A51" s="23"/>
      <c r="B51" s="34"/>
      <c r="C51" s="21"/>
      <c r="D51" s="24"/>
      <c r="E51" s="24"/>
      <c r="F51" s="25"/>
      <c r="G51" s="57">
        <f t="shared" si="2"/>
        <v>0</v>
      </c>
      <c r="H51" s="58">
        <f t="shared" si="3"/>
        <v>9608.7800000000007</v>
      </c>
    </row>
    <row r="52" spans="1:8" ht="22.5" customHeight="1">
      <c r="A52" s="23"/>
      <c r="B52" s="34"/>
      <c r="C52" s="21"/>
      <c r="D52" s="24"/>
      <c r="E52" s="24"/>
      <c r="F52" s="25"/>
      <c r="G52" s="57">
        <f t="shared" si="2"/>
        <v>0</v>
      </c>
      <c r="H52" s="58">
        <f t="shared" si="3"/>
        <v>9608.7800000000007</v>
      </c>
    </row>
    <row r="53" spans="1:8" ht="22.5" customHeight="1">
      <c r="A53" s="23"/>
      <c r="B53" s="34"/>
      <c r="C53" s="21"/>
      <c r="D53" s="24"/>
      <c r="E53" s="24"/>
      <c r="F53" s="25"/>
      <c r="G53" s="57">
        <f t="shared" si="2"/>
        <v>0</v>
      </c>
      <c r="H53" s="58">
        <f t="shared" si="3"/>
        <v>9608.7800000000007</v>
      </c>
    </row>
    <row r="54" spans="1:8" ht="22.5" customHeight="1">
      <c r="A54" s="23"/>
      <c r="B54" s="34"/>
      <c r="C54" s="21"/>
      <c r="D54" s="24"/>
      <c r="E54" s="24"/>
      <c r="F54" s="25"/>
      <c r="G54" s="57">
        <f t="shared" si="2"/>
        <v>0</v>
      </c>
      <c r="H54" s="58">
        <f t="shared" si="3"/>
        <v>9608.7800000000007</v>
      </c>
    </row>
    <row r="55" spans="1:8" ht="22.5" customHeight="1">
      <c r="A55" s="23"/>
      <c r="B55" s="34"/>
      <c r="C55" s="21"/>
      <c r="D55" s="24"/>
      <c r="E55" s="24"/>
      <c r="F55" s="25"/>
      <c r="G55" s="57">
        <f t="shared" si="2"/>
        <v>0</v>
      </c>
      <c r="H55" s="58">
        <f t="shared" si="3"/>
        <v>9608.7800000000007</v>
      </c>
    </row>
    <row r="56" spans="1:8" ht="22.5" customHeight="1">
      <c r="A56" s="23"/>
      <c r="B56" s="34"/>
      <c r="C56" s="21"/>
      <c r="D56" s="24"/>
      <c r="E56" s="24"/>
      <c r="F56" s="25"/>
      <c r="G56" s="57">
        <f t="shared" si="2"/>
        <v>0</v>
      </c>
      <c r="H56" s="58">
        <f t="shared" si="3"/>
        <v>9608.7800000000007</v>
      </c>
    </row>
    <row r="57" spans="1:8" ht="22.5" customHeight="1">
      <c r="A57" s="23"/>
      <c r="B57" s="34"/>
      <c r="C57" s="21"/>
      <c r="D57" s="24"/>
      <c r="E57" s="24"/>
      <c r="F57" s="25"/>
      <c r="G57" s="57">
        <f t="shared" si="2"/>
        <v>0</v>
      </c>
      <c r="H57" s="58">
        <f t="shared" si="3"/>
        <v>9608.7800000000007</v>
      </c>
    </row>
    <row r="58" spans="1:8" ht="22.5" customHeight="1">
      <c r="A58" s="23"/>
      <c r="B58" s="34"/>
      <c r="C58" s="21"/>
      <c r="D58" s="24"/>
      <c r="E58" s="24"/>
      <c r="F58" s="25"/>
      <c r="G58" s="57">
        <f t="shared" si="2"/>
        <v>0</v>
      </c>
      <c r="H58" s="58">
        <f t="shared" si="3"/>
        <v>9608.7800000000007</v>
      </c>
    </row>
    <row r="59" spans="1:8" ht="22.5" customHeight="1">
      <c r="A59" s="23"/>
      <c r="B59" s="34"/>
      <c r="C59" s="21"/>
      <c r="D59" s="24"/>
      <c r="E59" s="24"/>
      <c r="F59" s="25"/>
      <c r="G59" s="57">
        <f t="shared" si="2"/>
        <v>0</v>
      </c>
      <c r="H59" s="58">
        <f t="shared" si="3"/>
        <v>9608.7800000000007</v>
      </c>
    </row>
    <row r="60" spans="1:8" ht="22.5" customHeight="1">
      <c r="A60" s="23"/>
      <c r="B60" s="34"/>
      <c r="C60" s="21"/>
      <c r="D60" s="24"/>
      <c r="E60" s="24"/>
      <c r="F60" s="25"/>
      <c r="G60" s="57">
        <f t="shared" si="2"/>
        <v>0</v>
      </c>
      <c r="H60" s="58">
        <f t="shared" si="3"/>
        <v>9608.7800000000007</v>
      </c>
    </row>
    <row r="61" spans="1:8" ht="22.5" customHeight="1">
      <c r="A61" s="23"/>
      <c r="B61" s="34"/>
      <c r="C61" s="21"/>
      <c r="D61" s="24"/>
      <c r="E61" s="24"/>
      <c r="F61" s="25"/>
      <c r="G61" s="57">
        <f t="shared" si="2"/>
        <v>0</v>
      </c>
      <c r="H61" s="58">
        <f t="shared" si="3"/>
        <v>9608.7800000000007</v>
      </c>
    </row>
    <row r="62" spans="1:8" ht="22.5" customHeight="1">
      <c r="A62" s="23"/>
      <c r="B62" s="34"/>
      <c r="C62" s="21"/>
      <c r="D62" s="24"/>
      <c r="E62" s="24"/>
      <c r="F62" s="25"/>
      <c r="G62" s="57">
        <f t="shared" si="2"/>
        <v>0</v>
      </c>
      <c r="H62" s="58">
        <f t="shared" si="3"/>
        <v>9608.7800000000007</v>
      </c>
    </row>
    <row r="63" spans="1:8" ht="22.5" customHeight="1">
      <c r="A63" s="23"/>
      <c r="B63" s="34"/>
      <c r="C63" s="21"/>
      <c r="D63" s="24"/>
      <c r="E63" s="24"/>
      <c r="F63" s="25"/>
      <c r="G63" s="57">
        <f t="shared" si="2"/>
        <v>0</v>
      </c>
      <c r="H63" s="58">
        <f t="shared" si="3"/>
        <v>9608.7800000000007</v>
      </c>
    </row>
    <row r="64" spans="1:8" ht="22.5" customHeight="1">
      <c r="A64" s="23"/>
      <c r="B64" s="34"/>
      <c r="C64" s="21"/>
      <c r="D64" s="24"/>
      <c r="E64" s="24"/>
      <c r="F64" s="25"/>
      <c r="G64" s="57">
        <f t="shared" si="2"/>
        <v>0</v>
      </c>
      <c r="H64" s="58">
        <f t="shared" si="3"/>
        <v>9608.7800000000007</v>
      </c>
    </row>
    <row r="65" spans="1:8" ht="22.5" customHeight="1">
      <c r="A65" s="23"/>
      <c r="B65" s="34"/>
      <c r="C65" s="21"/>
      <c r="D65" s="24"/>
      <c r="E65" s="24"/>
      <c r="F65" s="25"/>
      <c r="G65" s="57">
        <f t="shared" si="2"/>
        <v>0</v>
      </c>
      <c r="H65" s="58">
        <f t="shared" si="3"/>
        <v>9608.7800000000007</v>
      </c>
    </row>
    <row r="66" spans="1:8" ht="22.5" customHeight="1">
      <c r="A66" s="23"/>
      <c r="B66" s="34"/>
      <c r="C66" s="21"/>
      <c r="D66" s="24"/>
      <c r="E66" s="24"/>
      <c r="F66" s="25"/>
      <c r="G66" s="57">
        <f t="shared" si="2"/>
        <v>0</v>
      </c>
      <c r="H66" s="58">
        <f t="shared" si="3"/>
        <v>9608.7800000000007</v>
      </c>
    </row>
    <row r="67" spans="1:8" ht="22.5" customHeight="1">
      <c r="A67" s="23"/>
      <c r="B67" s="34"/>
      <c r="C67" s="21"/>
      <c r="D67" s="24"/>
      <c r="E67" s="24"/>
      <c r="F67" s="25"/>
      <c r="G67" s="57">
        <f t="shared" si="2"/>
        <v>0</v>
      </c>
      <c r="H67" s="58">
        <f t="shared" si="3"/>
        <v>9608.7800000000007</v>
      </c>
    </row>
    <row r="68" spans="1:8" ht="22.5" customHeight="1">
      <c r="A68" s="23"/>
      <c r="B68" s="34"/>
      <c r="C68" s="21"/>
      <c r="D68" s="24"/>
      <c r="E68" s="24"/>
      <c r="F68" s="25"/>
      <c r="G68" s="57">
        <f t="shared" si="2"/>
        <v>0</v>
      </c>
      <c r="H68" s="58">
        <f t="shared" si="3"/>
        <v>9608.7800000000007</v>
      </c>
    </row>
    <row r="69" spans="1:8" ht="22.5" customHeight="1">
      <c r="A69" s="23"/>
      <c r="B69" s="34"/>
      <c r="C69" s="21"/>
      <c r="D69" s="24"/>
      <c r="E69" s="24"/>
      <c r="F69" s="25"/>
      <c r="G69" s="57">
        <f t="shared" si="2"/>
        <v>0</v>
      </c>
      <c r="H69" s="58">
        <f t="shared" si="3"/>
        <v>9608.7800000000007</v>
      </c>
    </row>
    <row r="70" spans="1:8" ht="22.5" customHeight="1">
      <c r="A70" s="23"/>
      <c r="B70" s="34"/>
      <c r="C70" s="21"/>
      <c r="D70" s="24"/>
      <c r="E70" s="24"/>
      <c r="F70" s="25"/>
      <c r="G70" s="57">
        <f t="shared" si="2"/>
        <v>0</v>
      </c>
      <c r="H70" s="58">
        <f t="shared" si="3"/>
        <v>9608.7800000000007</v>
      </c>
    </row>
    <row r="71" spans="1:8" ht="22.5" customHeight="1">
      <c r="A71" s="23"/>
      <c r="B71" s="34"/>
      <c r="C71" s="21"/>
      <c r="D71" s="24"/>
      <c r="E71" s="24"/>
      <c r="F71" s="25"/>
      <c r="G71" s="57">
        <f t="shared" ref="G71:G102" si="4">IF(A71="Despesas",E71*-1,IF(A71="Receitas",E71,0))</f>
        <v>0</v>
      </c>
      <c r="H71" s="58">
        <f t="shared" ref="H71:H102" si="5">H70+G71</f>
        <v>9608.7800000000007</v>
      </c>
    </row>
    <row r="72" spans="1:8" ht="22.5" customHeight="1">
      <c r="A72" s="23"/>
      <c r="B72" s="34"/>
      <c r="C72" s="21"/>
      <c r="D72" s="24"/>
      <c r="E72" s="24"/>
      <c r="F72" s="25"/>
      <c r="G72" s="57">
        <f t="shared" si="4"/>
        <v>0</v>
      </c>
      <c r="H72" s="58">
        <f t="shared" si="5"/>
        <v>9608.7800000000007</v>
      </c>
    </row>
    <row r="73" spans="1:8" ht="22.5" customHeight="1">
      <c r="A73" s="23"/>
      <c r="B73" s="34"/>
      <c r="C73" s="21"/>
      <c r="D73" s="24"/>
      <c r="E73" s="24"/>
      <c r="F73" s="25"/>
      <c r="G73" s="57">
        <f t="shared" si="4"/>
        <v>0</v>
      </c>
      <c r="H73" s="58">
        <f t="shared" si="5"/>
        <v>9608.7800000000007</v>
      </c>
    </row>
    <row r="74" spans="1:8" ht="22.5" customHeight="1">
      <c r="A74" s="23"/>
      <c r="B74" s="34"/>
      <c r="C74" s="21"/>
      <c r="D74" s="24"/>
      <c r="E74" s="24"/>
      <c r="F74" s="25"/>
      <c r="G74" s="57">
        <f t="shared" si="4"/>
        <v>0</v>
      </c>
      <c r="H74" s="58">
        <f t="shared" si="5"/>
        <v>9608.7800000000007</v>
      </c>
    </row>
    <row r="75" spans="1:8" ht="22.5" customHeight="1">
      <c r="A75" s="23"/>
      <c r="B75" s="34"/>
      <c r="C75" s="21"/>
      <c r="D75" s="24"/>
      <c r="E75" s="24"/>
      <c r="F75" s="25"/>
      <c r="G75" s="57">
        <f t="shared" si="4"/>
        <v>0</v>
      </c>
      <c r="H75" s="58">
        <f t="shared" si="5"/>
        <v>9608.7800000000007</v>
      </c>
    </row>
    <row r="76" spans="1:8" ht="22.5" customHeight="1">
      <c r="A76" s="23"/>
      <c r="B76" s="34"/>
      <c r="C76" s="21"/>
      <c r="D76" s="24"/>
      <c r="E76" s="24"/>
      <c r="F76" s="25"/>
      <c r="G76" s="57">
        <f t="shared" si="4"/>
        <v>0</v>
      </c>
      <c r="H76" s="58">
        <f t="shared" si="5"/>
        <v>9608.7800000000007</v>
      </c>
    </row>
    <row r="77" spans="1:8" ht="22.5" customHeight="1">
      <c r="A77" s="23"/>
      <c r="B77" s="34"/>
      <c r="C77" s="21"/>
      <c r="D77" s="24"/>
      <c r="E77" s="24"/>
      <c r="F77" s="25"/>
      <c r="G77" s="57">
        <f t="shared" si="4"/>
        <v>0</v>
      </c>
      <c r="H77" s="58">
        <f t="shared" si="5"/>
        <v>9608.7800000000007</v>
      </c>
    </row>
    <row r="78" spans="1:8" ht="22.5" customHeight="1">
      <c r="A78" s="23"/>
      <c r="B78" s="34"/>
      <c r="C78" s="21"/>
      <c r="D78" s="24"/>
      <c r="E78" s="24"/>
      <c r="F78" s="25"/>
      <c r="G78" s="57">
        <f t="shared" si="4"/>
        <v>0</v>
      </c>
      <c r="H78" s="58">
        <f t="shared" si="5"/>
        <v>9608.7800000000007</v>
      </c>
    </row>
    <row r="79" spans="1:8" ht="22.5" customHeight="1">
      <c r="A79" s="23"/>
      <c r="B79" s="34"/>
      <c r="C79" s="21"/>
      <c r="D79" s="24"/>
      <c r="E79" s="24"/>
      <c r="F79" s="25"/>
      <c r="G79" s="57">
        <f t="shared" si="4"/>
        <v>0</v>
      </c>
      <c r="H79" s="58">
        <f t="shared" si="5"/>
        <v>9608.7800000000007</v>
      </c>
    </row>
    <row r="80" spans="1:8" ht="22.5" customHeight="1">
      <c r="A80" s="23"/>
      <c r="B80" s="34"/>
      <c r="C80" s="21"/>
      <c r="D80" s="24"/>
      <c r="E80" s="24"/>
      <c r="F80" s="25"/>
      <c r="G80" s="57">
        <f t="shared" si="4"/>
        <v>0</v>
      </c>
      <c r="H80" s="58">
        <f t="shared" si="5"/>
        <v>9608.7800000000007</v>
      </c>
    </row>
    <row r="81" spans="1:8" ht="22.5" customHeight="1">
      <c r="A81" s="23"/>
      <c r="B81" s="34"/>
      <c r="C81" s="21"/>
      <c r="D81" s="24"/>
      <c r="E81" s="24"/>
      <c r="F81" s="25"/>
      <c r="G81" s="57">
        <f t="shared" si="4"/>
        <v>0</v>
      </c>
      <c r="H81" s="58">
        <f t="shared" si="5"/>
        <v>9608.7800000000007</v>
      </c>
    </row>
    <row r="82" spans="1:8" ht="22.5" customHeight="1">
      <c r="A82" s="23"/>
      <c r="B82" s="34"/>
      <c r="C82" s="21"/>
      <c r="D82" s="24"/>
      <c r="E82" s="24"/>
      <c r="F82" s="25"/>
      <c r="G82" s="57">
        <f t="shared" si="4"/>
        <v>0</v>
      </c>
      <c r="H82" s="58">
        <f t="shared" si="5"/>
        <v>9608.7800000000007</v>
      </c>
    </row>
    <row r="83" spans="1:8" ht="22.5" customHeight="1">
      <c r="A83" s="23"/>
      <c r="B83" s="34"/>
      <c r="C83" s="21"/>
      <c r="D83" s="24"/>
      <c r="E83" s="24"/>
      <c r="F83" s="25"/>
      <c r="G83" s="57">
        <f t="shared" si="4"/>
        <v>0</v>
      </c>
      <c r="H83" s="58">
        <f t="shared" si="5"/>
        <v>9608.7800000000007</v>
      </c>
    </row>
    <row r="84" spans="1:8" ht="22.5" customHeight="1">
      <c r="A84" s="23"/>
      <c r="B84" s="34"/>
      <c r="C84" s="21"/>
      <c r="D84" s="24"/>
      <c r="E84" s="24"/>
      <c r="F84" s="25"/>
      <c r="G84" s="57">
        <f t="shared" si="4"/>
        <v>0</v>
      </c>
      <c r="H84" s="58">
        <f t="shared" si="5"/>
        <v>9608.7800000000007</v>
      </c>
    </row>
    <row r="85" spans="1:8" ht="22.5" customHeight="1">
      <c r="A85" s="23"/>
      <c r="B85" s="34"/>
      <c r="C85" s="21"/>
      <c r="D85" s="24"/>
      <c r="E85" s="24"/>
      <c r="F85" s="25"/>
      <c r="G85" s="57">
        <f t="shared" si="4"/>
        <v>0</v>
      </c>
      <c r="H85" s="58">
        <f t="shared" si="5"/>
        <v>9608.7800000000007</v>
      </c>
    </row>
    <row r="86" spans="1:8" ht="22.5" customHeight="1">
      <c r="A86" s="23"/>
      <c r="B86" s="34"/>
      <c r="C86" s="21"/>
      <c r="D86" s="24"/>
      <c r="E86" s="24"/>
      <c r="F86" s="25"/>
      <c r="G86" s="57">
        <f t="shared" si="4"/>
        <v>0</v>
      </c>
      <c r="H86" s="58">
        <f t="shared" si="5"/>
        <v>9608.7800000000007</v>
      </c>
    </row>
    <row r="87" spans="1:8" ht="22.5" customHeight="1">
      <c r="A87" s="23"/>
      <c r="B87" s="34"/>
      <c r="C87" s="21"/>
      <c r="D87" s="24"/>
      <c r="E87" s="24"/>
      <c r="F87" s="25"/>
      <c r="G87" s="57">
        <f t="shared" si="4"/>
        <v>0</v>
      </c>
      <c r="H87" s="58">
        <f t="shared" si="5"/>
        <v>9608.7800000000007</v>
      </c>
    </row>
    <row r="88" spans="1:8" ht="22.5" customHeight="1">
      <c r="A88" s="23"/>
      <c r="B88" s="34"/>
      <c r="C88" s="21"/>
      <c r="D88" s="24"/>
      <c r="E88" s="24"/>
      <c r="F88" s="25"/>
      <c r="G88" s="57">
        <f t="shared" si="4"/>
        <v>0</v>
      </c>
      <c r="H88" s="58">
        <f t="shared" si="5"/>
        <v>9608.7800000000007</v>
      </c>
    </row>
    <row r="89" spans="1:8" ht="22.5" customHeight="1">
      <c r="A89" s="23"/>
      <c r="B89" s="34"/>
      <c r="C89" s="21"/>
      <c r="D89" s="24"/>
      <c r="E89" s="24"/>
      <c r="F89" s="25"/>
      <c r="G89" s="57">
        <f t="shared" si="4"/>
        <v>0</v>
      </c>
      <c r="H89" s="58">
        <f t="shared" si="5"/>
        <v>9608.7800000000007</v>
      </c>
    </row>
    <row r="90" spans="1:8" ht="22.5" customHeight="1">
      <c r="A90" s="23"/>
      <c r="B90" s="34"/>
      <c r="C90" s="21"/>
      <c r="D90" s="24"/>
      <c r="E90" s="24"/>
      <c r="F90" s="25"/>
      <c r="G90" s="57">
        <f t="shared" si="4"/>
        <v>0</v>
      </c>
      <c r="H90" s="58">
        <f t="shared" si="5"/>
        <v>9608.7800000000007</v>
      </c>
    </row>
    <row r="91" spans="1:8" ht="22.5" customHeight="1">
      <c r="A91" s="23"/>
      <c r="B91" s="34"/>
      <c r="C91" s="21"/>
      <c r="D91" s="24"/>
      <c r="E91" s="24"/>
      <c r="F91" s="25"/>
      <c r="G91" s="57">
        <f t="shared" si="4"/>
        <v>0</v>
      </c>
      <c r="H91" s="58">
        <f t="shared" si="5"/>
        <v>9608.7800000000007</v>
      </c>
    </row>
    <row r="92" spans="1:8" ht="22.5" customHeight="1">
      <c r="A92" s="23"/>
      <c r="B92" s="34"/>
      <c r="C92" s="21"/>
      <c r="D92" s="24"/>
      <c r="E92" s="24"/>
      <c r="F92" s="25"/>
      <c r="G92" s="57">
        <f t="shared" si="4"/>
        <v>0</v>
      </c>
      <c r="H92" s="58">
        <f t="shared" si="5"/>
        <v>9608.7800000000007</v>
      </c>
    </row>
    <row r="93" spans="1:8" ht="22.5" customHeight="1">
      <c r="A93" s="23"/>
      <c r="B93" s="34"/>
      <c r="C93" s="21"/>
      <c r="D93" s="24"/>
      <c r="E93" s="24"/>
      <c r="F93" s="25"/>
      <c r="G93" s="57">
        <f t="shared" si="4"/>
        <v>0</v>
      </c>
      <c r="H93" s="58">
        <f t="shared" si="5"/>
        <v>9608.7800000000007</v>
      </c>
    </row>
    <row r="94" spans="1:8" ht="22.5" customHeight="1">
      <c r="A94" s="23"/>
      <c r="B94" s="34"/>
      <c r="C94" s="21"/>
      <c r="D94" s="24"/>
      <c r="E94" s="24"/>
      <c r="F94" s="25"/>
      <c r="G94" s="57">
        <f t="shared" si="4"/>
        <v>0</v>
      </c>
      <c r="H94" s="58">
        <f t="shared" si="5"/>
        <v>9608.7800000000007</v>
      </c>
    </row>
    <row r="95" spans="1:8" ht="22.5" customHeight="1">
      <c r="A95" s="23"/>
      <c r="B95" s="34"/>
      <c r="C95" s="21"/>
      <c r="D95" s="24"/>
      <c r="E95" s="24"/>
      <c r="F95" s="25"/>
      <c r="G95" s="57">
        <f t="shared" si="4"/>
        <v>0</v>
      </c>
      <c r="H95" s="58">
        <f t="shared" si="5"/>
        <v>9608.7800000000007</v>
      </c>
    </row>
    <row r="96" spans="1:8" ht="22.5" customHeight="1">
      <c r="A96" s="23"/>
      <c r="B96" s="34"/>
      <c r="C96" s="21"/>
      <c r="D96" s="24"/>
      <c r="E96" s="24"/>
      <c r="F96" s="25"/>
      <c r="G96" s="57">
        <f t="shared" si="4"/>
        <v>0</v>
      </c>
      <c r="H96" s="58">
        <f t="shared" si="5"/>
        <v>9608.7800000000007</v>
      </c>
    </row>
    <row r="97" spans="1:8" ht="22.5" customHeight="1">
      <c r="A97" s="23"/>
      <c r="B97" s="34"/>
      <c r="C97" s="21"/>
      <c r="D97" s="24"/>
      <c r="E97" s="24"/>
      <c r="F97" s="25"/>
      <c r="G97" s="57">
        <f t="shared" si="4"/>
        <v>0</v>
      </c>
      <c r="H97" s="58">
        <f t="shared" si="5"/>
        <v>9608.7800000000007</v>
      </c>
    </row>
    <row r="98" spans="1:8" ht="22.5" customHeight="1">
      <c r="A98" s="23"/>
      <c r="B98" s="34"/>
      <c r="C98" s="21"/>
      <c r="D98" s="24"/>
      <c r="E98" s="24"/>
      <c r="F98" s="25"/>
      <c r="G98" s="57">
        <f t="shared" si="4"/>
        <v>0</v>
      </c>
      <c r="H98" s="58">
        <f t="shared" si="5"/>
        <v>9608.7800000000007</v>
      </c>
    </row>
    <row r="99" spans="1:8" ht="22.5" customHeight="1">
      <c r="A99" s="23"/>
      <c r="B99" s="34"/>
      <c r="C99" s="21"/>
      <c r="D99" s="24"/>
      <c r="E99" s="24"/>
      <c r="F99" s="25"/>
      <c r="G99" s="57">
        <f t="shared" si="4"/>
        <v>0</v>
      </c>
      <c r="H99" s="58">
        <f t="shared" si="5"/>
        <v>9608.7800000000007</v>
      </c>
    </row>
    <row r="100" spans="1:8" ht="22.5" customHeight="1">
      <c r="A100" s="23"/>
      <c r="B100" s="34"/>
      <c r="C100" s="21"/>
      <c r="D100" s="24"/>
      <c r="E100" s="24"/>
      <c r="F100" s="25"/>
      <c r="G100" s="57">
        <f t="shared" si="4"/>
        <v>0</v>
      </c>
      <c r="H100" s="58">
        <f t="shared" si="5"/>
        <v>9608.7800000000007</v>
      </c>
    </row>
    <row r="101" spans="1:8" ht="22.5" customHeight="1">
      <c r="A101" s="23"/>
      <c r="B101" s="34"/>
      <c r="C101" s="21"/>
      <c r="D101" s="24"/>
      <c r="E101" s="24"/>
      <c r="F101" s="25"/>
      <c r="G101" s="57">
        <f t="shared" si="4"/>
        <v>0</v>
      </c>
      <c r="H101" s="58">
        <f t="shared" si="5"/>
        <v>9608.7800000000007</v>
      </c>
    </row>
    <row r="102" spans="1:8" ht="22.5" customHeight="1">
      <c r="A102" s="23"/>
      <c r="B102" s="34"/>
      <c r="C102" s="21"/>
      <c r="D102" s="24"/>
      <c r="E102" s="24"/>
      <c r="F102" s="25"/>
      <c r="G102" s="57">
        <f t="shared" si="4"/>
        <v>0</v>
      </c>
      <c r="H102" s="58">
        <f t="shared" si="5"/>
        <v>9608.7800000000007</v>
      </c>
    </row>
    <row r="103" spans="1:8" ht="22.5" customHeight="1">
      <c r="A103" s="23"/>
      <c r="B103" s="34"/>
      <c r="C103" s="21"/>
      <c r="D103" s="24"/>
      <c r="E103" s="24"/>
      <c r="F103" s="25"/>
      <c r="G103" s="57">
        <f t="shared" ref="G103:G134" si="6">IF(A103="Despesas",E103*-1,IF(A103="Receitas",E103,0))</f>
        <v>0</v>
      </c>
      <c r="H103" s="58">
        <f t="shared" ref="H103:H134" si="7">H102+G103</f>
        <v>9608.7800000000007</v>
      </c>
    </row>
    <row r="104" spans="1:8" ht="22.5" customHeight="1">
      <c r="A104" s="23"/>
      <c r="B104" s="34"/>
      <c r="C104" s="21"/>
      <c r="D104" s="24"/>
      <c r="E104" s="24"/>
      <c r="F104" s="25"/>
      <c r="G104" s="57">
        <f t="shared" si="6"/>
        <v>0</v>
      </c>
      <c r="H104" s="58">
        <f t="shared" si="7"/>
        <v>9608.7800000000007</v>
      </c>
    </row>
    <row r="105" spans="1:8" ht="22.5" customHeight="1">
      <c r="A105" s="23"/>
      <c r="B105" s="34"/>
      <c r="C105" s="21"/>
      <c r="D105" s="24"/>
      <c r="E105" s="24"/>
      <c r="F105" s="25"/>
      <c r="G105" s="57">
        <f t="shared" si="6"/>
        <v>0</v>
      </c>
      <c r="H105" s="58">
        <f t="shared" si="7"/>
        <v>9608.7800000000007</v>
      </c>
    </row>
    <row r="106" spans="1:8" ht="22.5" customHeight="1">
      <c r="A106" s="23"/>
      <c r="B106" s="34"/>
      <c r="C106" s="21"/>
      <c r="D106" s="24"/>
      <c r="E106" s="24"/>
      <c r="F106" s="25"/>
      <c r="G106" s="57">
        <f t="shared" si="6"/>
        <v>0</v>
      </c>
      <c r="H106" s="58">
        <f t="shared" si="7"/>
        <v>9608.7800000000007</v>
      </c>
    </row>
    <row r="107" spans="1:8" ht="22.5" customHeight="1">
      <c r="A107" s="23"/>
      <c r="B107" s="34"/>
      <c r="C107" s="21"/>
      <c r="D107" s="24"/>
      <c r="E107" s="24"/>
      <c r="F107" s="25"/>
      <c r="G107" s="57">
        <f t="shared" si="6"/>
        <v>0</v>
      </c>
      <c r="H107" s="58">
        <f t="shared" si="7"/>
        <v>9608.7800000000007</v>
      </c>
    </row>
    <row r="108" spans="1:8" ht="22.5" customHeight="1">
      <c r="A108" s="23"/>
      <c r="B108" s="34"/>
      <c r="C108" s="21"/>
      <c r="D108" s="24"/>
      <c r="E108" s="24"/>
      <c r="F108" s="25"/>
      <c r="G108" s="57">
        <f t="shared" si="6"/>
        <v>0</v>
      </c>
      <c r="H108" s="58">
        <f t="shared" si="7"/>
        <v>9608.7800000000007</v>
      </c>
    </row>
    <row r="109" spans="1:8" ht="22.5" customHeight="1">
      <c r="A109" s="23"/>
      <c r="B109" s="34"/>
      <c r="C109" s="21"/>
      <c r="D109" s="24"/>
      <c r="E109" s="24"/>
      <c r="F109" s="25"/>
      <c r="G109" s="57">
        <f t="shared" si="6"/>
        <v>0</v>
      </c>
      <c r="H109" s="58">
        <f t="shared" si="7"/>
        <v>9608.7800000000007</v>
      </c>
    </row>
    <row r="110" spans="1:8" ht="22.5" customHeight="1">
      <c r="A110" s="23"/>
      <c r="B110" s="34"/>
      <c r="C110" s="21"/>
      <c r="D110" s="24"/>
      <c r="E110" s="24"/>
      <c r="F110" s="25"/>
      <c r="G110" s="57">
        <f t="shared" si="6"/>
        <v>0</v>
      </c>
      <c r="H110" s="58">
        <f t="shared" si="7"/>
        <v>9608.7800000000007</v>
      </c>
    </row>
    <row r="111" spans="1:8" ht="22.5" customHeight="1">
      <c r="A111" s="23"/>
      <c r="B111" s="34"/>
      <c r="C111" s="21"/>
      <c r="D111" s="24"/>
      <c r="E111" s="24"/>
      <c r="F111" s="25"/>
      <c r="G111" s="57">
        <f t="shared" si="6"/>
        <v>0</v>
      </c>
      <c r="H111" s="58">
        <f t="shared" si="7"/>
        <v>9608.7800000000007</v>
      </c>
    </row>
    <row r="112" spans="1:8" ht="22.5" customHeight="1">
      <c r="A112" s="23"/>
      <c r="B112" s="34"/>
      <c r="C112" s="21"/>
      <c r="D112" s="24"/>
      <c r="E112" s="24"/>
      <c r="F112" s="25"/>
      <c r="G112" s="57">
        <f t="shared" si="6"/>
        <v>0</v>
      </c>
      <c r="H112" s="58">
        <f t="shared" si="7"/>
        <v>9608.7800000000007</v>
      </c>
    </row>
    <row r="113" spans="1:8" ht="22.5" customHeight="1">
      <c r="A113" s="23"/>
      <c r="B113" s="34"/>
      <c r="C113" s="21"/>
      <c r="D113" s="24"/>
      <c r="E113" s="24"/>
      <c r="F113" s="25"/>
      <c r="G113" s="57">
        <f t="shared" si="6"/>
        <v>0</v>
      </c>
      <c r="H113" s="58">
        <f t="shared" si="7"/>
        <v>9608.7800000000007</v>
      </c>
    </row>
    <row r="114" spans="1:8" ht="22.5" customHeight="1">
      <c r="A114" s="23"/>
      <c r="B114" s="34"/>
      <c r="C114" s="21"/>
      <c r="D114" s="24"/>
      <c r="E114" s="24"/>
      <c r="F114" s="25"/>
      <c r="G114" s="57">
        <f t="shared" si="6"/>
        <v>0</v>
      </c>
      <c r="H114" s="58">
        <f t="shared" si="7"/>
        <v>9608.7800000000007</v>
      </c>
    </row>
    <row r="115" spans="1:8" ht="22.5" customHeight="1">
      <c r="A115" s="23"/>
      <c r="B115" s="34"/>
      <c r="C115" s="21"/>
      <c r="D115" s="24"/>
      <c r="E115" s="24"/>
      <c r="F115" s="25"/>
      <c r="G115" s="57">
        <f t="shared" si="6"/>
        <v>0</v>
      </c>
      <c r="H115" s="58">
        <f t="shared" si="7"/>
        <v>9608.7800000000007</v>
      </c>
    </row>
    <row r="116" spans="1:8" ht="22.5" customHeight="1">
      <c r="A116" s="23"/>
      <c r="B116" s="34"/>
      <c r="C116" s="21"/>
      <c r="D116" s="24"/>
      <c r="E116" s="24"/>
      <c r="F116" s="25"/>
      <c r="G116" s="57">
        <f t="shared" si="6"/>
        <v>0</v>
      </c>
      <c r="H116" s="58">
        <f t="shared" si="7"/>
        <v>9608.7800000000007</v>
      </c>
    </row>
    <row r="117" spans="1:8" ht="22.5" customHeight="1">
      <c r="A117" s="23"/>
      <c r="B117" s="34"/>
      <c r="C117" s="21"/>
      <c r="D117" s="24"/>
      <c r="E117" s="24"/>
      <c r="F117" s="25"/>
      <c r="G117" s="57">
        <f t="shared" si="6"/>
        <v>0</v>
      </c>
      <c r="H117" s="58">
        <f t="shared" si="7"/>
        <v>9608.7800000000007</v>
      </c>
    </row>
    <row r="118" spans="1:8" ht="22.5" customHeight="1">
      <c r="A118" s="23"/>
      <c r="B118" s="34"/>
      <c r="C118" s="21"/>
      <c r="D118" s="24"/>
      <c r="E118" s="24"/>
      <c r="F118" s="25"/>
      <c r="G118" s="57">
        <f t="shared" si="6"/>
        <v>0</v>
      </c>
      <c r="H118" s="58">
        <f t="shared" si="7"/>
        <v>9608.7800000000007</v>
      </c>
    </row>
    <row r="119" spans="1:8" ht="22.5" customHeight="1">
      <c r="A119" s="23"/>
      <c r="B119" s="34"/>
      <c r="C119" s="21"/>
      <c r="D119" s="24"/>
      <c r="E119" s="24"/>
      <c r="F119" s="25"/>
      <c r="G119" s="57">
        <f t="shared" si="6"/>
        <v>0</v>
      </c>
      <c r="H119" s="58">
        <f t="shared" si="7"/>
        <v>9608.7800000000007</v>
      </c>
    </row>
    <row r="120" spans="1:8" ht="22.5" customHeight="1">
      <c r="A120" s="23"/>
      <c r="B120" s="34"/>
      <c r="C120" s="21"/>
      <c r="D120" s="24"/>
      <c r="E120" s="24"/>
      <c r="F120" s="25"/>
      <c r="G120" s="57">
        <f t="shared" si="6"/>
        <v>0</v>
      </c>
      <c r="H120" s="58">
        <f t="shared" si="7"/>
        <v>9608.7800000000007</v>
      </c>
    </row>
    <row r="121" spans="1:8" ht="22.5" customHeight="1">
      <c r="A121" s="23"/>
      <c r="B121" s="34"/>
      <c r="C121" s="21"/>
      <c r="D121" s="24"/>
      <c r="E121" s="24"/>
      <c r="F121" s="25"/>
      <c r="G121" s="57">
        <f t="shared" si="6"/>
        <v>0</v>
      </c>
      <c r="H121" s="58">
        <f t="shared" si="7"/>
        <v>9608.7800000000007</v>
      </c>
    </row>
    <row r="122" spans="1:8" ht="22.5" customHeight="1">
      <c r="A122" s="23"/>
      <c r="B122" s="34"/>
      <c r="C122" s="21"/>
      <c r="D122" s="24"/>
      <c r="E122" s="24"/>
      <c r="F122" s="25"/>
      <c r="G122" s="57">
        <f t="shared" si="6"/>
        <v>0</v>
      </c>
      <c r="H122" s="58">
        <f t="shared" si="7"/>
        <v>9608.7800000000007</v>
      </c>
    </row>
    <row r="123" spans="1:8" ht="22.5" customHeight="1">
      <c r="A123" s="23"/>
      <c r="B123" s="34"/>
      <c r="C123" s="21"/>
      <c r="D123" s="24"/>
      <c r="E123" s="24"/>
      <c r="F123" s="25"/>
      <c r="G123" s="57">
        <f t="shared" si="6"/>
        <v>0</v>
      </c>
      <c r="H123" s="58">
        <f t="shared" si="7"/>
        <v>9608.7800000000007</v>
      </c>
    </row>
    <row r="124" spans="1:8" ht="22.5" customHeight="1">
      <c r="A124" s="23"/>
      <c r="B124" s="34"/>
      <c r="C124" s="21"/>
      <c r="D124" s="24"/>
      <c r="E124" s="24"/>
      <c r="F124" s="25"/>
      <c r="G124" s="57">
        <f t="shared" si="6"/>
        <v>0</v>
      </c>
      <c r="H124" s="58">
        <f t="shared" si="7"/>
        <v>9608.7800000000007</v>
      </c>
    </row>
    <row r="125" spans="1:8" ht="22.5" customHeight="1">
      <c r="A125" s="23"/>
      <c r="B125" s="34"/>
      <c r="C125" s="21"/>
      <c r="D125" s="24"/>
      <c r="E125" s="24"/>
      <c r="F125" s="25"/>
      <c r="G125" s="57">
        <f t="shared" si="6"/>
        <v>0</v>
      </c>
      <c r="H125" s="58">
        <f t="shared" si="7"/>
        <v>9608.7800000000007</v>
      </c>
    </row>
    <row r="126" spans="1:8" ht="22.5" customHeight="1">
      <c r="A126" s="23"/>
      <c r="B126" s="34"/>
      <c r="C126" s="21"/>
      <c r="D126" s="24"/>
      <c r="E126" s="24"/>
      <c r="F126" s="25"/>
      <c r="G126" s="57">
        <f t="shared" si="6"/>
        <v>0</v>
      </c>
      <c r="H126" s="58">
        <f t="shared" si="7"/>
        <v>9608.7800000000007</v>
      </c>
    </row>
    <row r="127" spans="1:8" ht="22.5" customHeight="1">
      <c r="A127" s="23"/>
      <c r="B127" s="34"/>
      <c r="C127" s="21"/>
      <c r="D127" s="24"/>
      <c r="E127" s="24"/>
      <c r="F127" s="25"/>
      <c r="G127" s="57">
        <f t="shared" si="6"/>
        <v>0</v>
      </c>
      <c r="H127" s="58">
        <f t="shared" si="7"/>
        <v>9608.7800000000007</v>
      </c>
    </row>
    <row r="128" spans="1:8" ht="22.5" customHeight="1">
      <c r="A128" s="23"/>
      <c r="B128" s="34"/>
      <c r="C128" s="21"/>
      <c r="D128" s="24"/>
      <c r="E128" s="24"/>
      <c r="F128" s="25"/>
      <c r="G128" s="57">
        <f t="shared" si="6"/>
        <v>0</v>
      </c>
      <c r="H128" s="58">
        <f t="shared" si="7"/>
        <v>9608.7800000000007</v>
      </c>
    </row>
    <row r="129" spans="1:8" ht="22.5" customHeight="1">
      <c r="A129" s="23"/>
      <c r="B129" s="34"/>
      <c r="C129" s="21"/>
      <c r="D129" s="24"/>
      <c r="E129" s="24"/>
      <c r="F129" s="25"/>
      <c r="G129" s="57">
        <f t="shared" si="6"/>
        <v>0</v>
      </c>
      <c r="H129" s="58">
        <f t="shared" si="7"/>
        <v>9608.7800000000007</v>
      </c>
    </row>
    <row r="130" spans="1:8" ht="22.5" customHeight="1">
      <c r="A130" s="23"/>
      <c r="B130" s="34"/>
      <c r="C130" s="21"/>
      <c r="D130" s="24"/>
      <c r="E130" s="24"/>
      <c r="F130" s="25"/>
      <c r="G130" s="57">
        <f t="shared" si="6"/>
        <v>0</v>
      </c>
      <c r="H130" s="58">
        <f t="shared" si="7"/>
        <v>9608.7800000000007</v>
      </c>
    </row>
    <row r="131" spans="1:8" ht="22.5" customHeight="1">
      <c r="A131" s="23"/>
      <c r="B131" s="34"/>
      <c r="C131" s="21"/>
      <c r="D131" s="24"/>
      <c r="E131" s="24"/>
      <c r="F131" s="25"/>
      <c r="G131" s="57">
        <f t="shared" si="6"/>
        <v>0</v>
      </c>
      <c r="H131" s="58">
        <f t="shared" si="7"/>
        <v>9608.7800000000007</v>
      </c>
    </row>
    <row r="132" spans="1:8" ht="22.5" customHeight="1">
      <c r="A132" s="23"/>
      <c r="B132" s="34"/>
      <c r="C132" s="21"/>
      <c r="D132" s="24"/>
      <c r="E132" s="24"/>
      <c r="F132" s="25"/>
      <c r="G132" s="57">
        <f t="shared" si="6"/>
        <v>0</v>
      </c>
      <c r="H132" s="58">
        <f t="shared" si="7"/>
        <v>9608.7800000000007</v>
      </c>
    </row>
    <row r="133" spans="1:8" ht="22.5" customHeight="1">
      <c r="A133" s="23"/>
      <c r="B133" s="34"/>
      <c r="C133" s="21"/>
      <c r="D133" s="24"/>
      <c r="E133" s="24"/>
      <c r="F133" s="25"/>
      <c r="G133" s="57">
        <f t="shared" si="6"/>
        <v>0</v>
      </c>
      <c r="H133" s="58">
        <f t="shared" si="7"/>
        <v>9608.7800000000007</v>
      </c>
    </row>
    <row r="134" spans="1:8" ht="22.5" customHeight="1">
      <c r="A134" s="23"/>
      <c r="B134" s="34"/>
      <c r="C134" s="21"/>
      <c r="D134" s="24"/>
      <c r="E134" s="24"/>
      <c r="F134" s="25"/>
      <c r="G134" s="57">
        <f t="shared" si="6"/>
        <v>0</v>
      </c>
      <c r="H134" s="58">
        <f t="shared" si="7"/>
        <v>9608.7800000000007</v>
      </c>
    </row>
    <row r="135" spans="1:8" ht="22.5" customHeight="1">
      <c r="A135" s="23"/>
      <c r="B135" s="34"/>
      <c r="C135" s="21"/>
      <c r="D135" s="24"/>
      <c r="E135" s="24"/>
      <c r="F135" s="25"/>
      <c r="G135" s="57">
        <f t="shared" ref="G135:G166" si="8">IF(A135="Despesas",E135*-1,IF(A135="Receitas",E135,0))</f>
        <v>0</v>
      </c>
      <c r="H135" s="58">
        <f t="shared" ref="H135:H166" si="9">H134+G135</f>
        <v>9608.7800000000007</v>
      </c>
    </row>
    <row r="136" spans="1:8" ht="22.5" customHeight="1">
      <c r="A136" s="23"/>
      <c r="B136" s="34"/>
      <c r="C136" s="21"/>
      <c r="D136" s="24"/>
      <c r="E136" s="24"/>
      <c r="F136" s="25"/>
      <c r="G136" s="57">
        <f t="shared" si="8"/>
        <v>0</v>
      </c>
      <c r="H136" s="58">
        <f t="shared" si="9"/>
        <v>9608.7800000000007</v>
      </c>
    </row>
    <row r="137" spans="1:8" ht="22.5" customHeight="1">
      <c r="A137" s="23"/>
      <c r="B137" s="34"/>
      <c r="C137" s="21"/>
      <c r="D137" s="24"/>
      <c r="E137" s="24"/>
      <c r="F137" s="25"/>
      <c r="G137" s="57">
        <f t="shared" si="8"/>
        <v>0</v>
      </c>
      <c r="H137" s="58">
        <f t="shared" si="9"/>
        <v>9608.7800000000007</v>
      </c>
    </row>
    <row r="138" spans="1:8" ht="22.5" customHeight="1">
      <c r="A138" s="23"/>
      <c r="B138" s="34"/>
      <c r="C138" s="21"/>
      <c r="D138" s="24"/>
      <c r="E138" s="24"/>
      <c r="F138" s="25"/>
      <c r="G138" s="57">
        <f t="shared" si="8"/>
        <v>0</v>
      </c>
      <c r="H138" s="58">
        <f t="shared" si="9"/>
        <v>9608.7800000000007</v>
      </c>
    </row>
    <row r="139" spans="1:8" ht="22.5" customHeight="1">
      <c r="A139" s="23"/>
      <c r="B139" s="34"/>
      <c r="C139" s="21"/>
      <c r="D139" s="24"/>
      <c r="E139" s="24"/>
      <c r="F139" s="25"/>
      <c r="G139" s="57">
        <f t="shared" si="8"/>
        <v>0</v>
      </c>
      <c r="H139" s="58">
        <f t="shared" si="9"/>
        <v>9608.7800000000007</v>
      </c>
    </row>
    <row r="140" spans="1:8" ht="22.5" customHeight="1">
      <c r="A140" s="23"/>
      <c r="B140" s="34"/>
      <c r="C140" s="21"/>
      <c r="D140" s="24"/>
      <c r="E140" s="24"/>
      <c r="F140" s="25"/>
      <c r="G140" s="57">
        <f t="shared" si="8"/>
        <v>0</v>
      </c>
      <c r="H140" s="58">
        <f t="shared" si="9"/>
        <v>9608.7800000000007</v>
      </c>
    </row>
    <row r="141" spans="1:8" ht="22.5" customHeight="1">
      <c r="A141" s="23"/>
      <c r="B141" s="34"/>
      <c r="C141" s="21"/>
      <c r="D141" s="24"/>
      <c r="E141" s="24"/>
      <c r="F141" s="25"/>
      <c r="G141" s="57">
        <f t="shared" si="8"/>
        <v>0</v>
      </c>
      <c r="H141" s="58">
        <f t="shared" si="9"/>
        <v>9608.7800000000007</v>
      </c>
    </row>
    <row r="142" spans="1:8" ht="22.5" customHeight="1">
      <c r="A142" s="23"/>
      <c r="B142" s="34"/>
      <c r="C142" s="21"/>
      <c r="D142" s="24"/>
      <c r="E142" s="24"/>
      <c r="F142" s="25"/>
      <c r="G142" s="57">
        <f t="shared" si="8"/>
        <v>0</v>
      </c>
      <c r="H142" s="58">
        <f t="shared" si="9"/>
        <v>9608.7800000000007</v>
      </c>
    </row>
    <row r="143" spans="1:8" ht="22.5" customHeight="1">
      <c r="A143" s="23"/>
      <c r="B143" s="34"/>
      <c r="C143" s="21"/>
      <c r="D143" s="24"/>
      <c r="E143" s="24"/>
      <c r="F143" s="25"/>
      <c r="G143" s="57">
        <f t="shared" si="8"/>
        <v>0</v>
      </c>
      <c r="H143" s="58">
        <f t="shared" ref="H143:H206" si="10">H142+G143</f>
        <v>9608.7800000000007</v>
      </c>
    </row>
    <row r="144" spans="1:8" ht="22.5" customHeight="1">
      <c r="A144" s="23"/>
      <c r="B144" s="34"/>
      <c r="C144" s="21"/>
      <c r="D144" s="24"/>
      <c r="E144" s="24"/>
      <c r="F144" s="25"/>
      <c r="G144" s="57">
        <f t="shared" si="8"/>
        <v>0</v>
      </c>
      <c r="H144" s="58">
        <f t="shared" si="10"/>
        <v>9608.7800000000007</v>
      </c>
    </row>
    <row r="145" spans="1:8" ht="22.5" customHeight="1">
      <c r="A145" s="23"/>
      <c r="B145" s="34"/>
      <c r="C145" s="21"/>
      <c r="D145" s="24"/>
      <c r="E145" s="24"/>
      <c r="F145" s="25"/>
      <c r="G145" s="57">
        <f t="shared" si="8"/>
        <v>0</v>
      </c>
      <c r="H145" s="58">
        <f t="shared" si="10"/>
        <v>9608.7800000000007</v>
      </c>
    </row>
    <row r="146" spans="1:8" ht="22.5" customHeight="1">
      <c r="A146" s="23"/>
      <c r="B146" s="34"/>
      <c r="C146" s="21"/>
      <c r="D146" s="24"/>
      <c r="E146" s="24"/>
      <c r="F146" s="25"/>
      <c r="G146" s="57">
        <f t="shared" si="8"/>
        <v>0</v>
      </c>
      <c r="H146" s="58">
        <f t="shared" si="10"/>
        <v>9608.7800000000007</v>
      </c>
    </row>
    <row r="147" spans="1:8" ht="22.5" customHeight="1">
      <c r="A147" s="23"/>
      <c r="B147" s="34"/>
      <c r="C147" s="21"/>
      <c r="D147" s="24"/>
      <c r="E147" s="24"/>
      <c r="F147" s="25"/>
      <c r="G147" s="57">
        <f t="shared" si="8"/>
        <v>0</v>
      </c>
      <c r="H147" s="58">
        <f t="shared" si="10"/>
        <v>9608.7800000000007</v>
      </c>
    </row>
    <row r="148" spans="1:8" ht="22.5" customHeight="1">
      <c r="A148" s="23"/>
      <c r="B148" s="34"/>
      <c r="C148" s="21"/>
      <c r="D148" s="24"/>
      <c r="E148" s="24"/>
      <c r="F148" s="25"/>
      <c r="G148" s="57">
        <f t="shared" si="8"/>
        <v>0</v>
      </c>
      <c r="H148" s="58">
        <f t="shared" si="10"/>
        <v>9608.7800000000007</v>
      </c>
    </row>
    <row r="149" spans="1:8" ht="22.5" customHeight="1">
      <c r="A149" s="23"/>
      <c r="B149" s="34"/>
      <c r="C149" s="21"/>
      <c r="D149" s="24"/>
      <c r="E149" s="24"/>
      <c r="F149" s="25"/>
      <c r="G149" s="57">
        <f t="shared" si="8"/>
        <v>0</v>
      </c>
      <c r="H149" s="58">
        <f t="shared" si="10"/>
        <v>9608.7800000000007</v>
      </c>
    </row>
    <row r="150" spans="1:8" ht="22.5" customHeight="1">
      <c r="A150" s="23"/>
      <c r="B150" s="34"/>
      <c r="C150" s="21"/>
      <c r="D150" s="24"/>
      <c r="E150" s="24"/>
      <c r="F150" s="25"/>
      <c r="G150" s="57">
        <f t="shared" si="8"/>
        <v>0</v>
      </c>
      <c r="H150" s="58">
        <f t="shared" si="10"/>
        <v>9608.7800000000007</v>
      </c>
    </row>
    <row r="151" spans="1:8" ht="22.5" customHeight="1">
      <c r="A151" s="23"/>
      <c r="B151" s="34"/>
      <c r="C151" s="21"/>
      <c r="D151" s="24"/>
      <c r="E151" s="24"/>
      <c r="F151" s="25"/>
      <c r="G151" s="57">
        <f t="shared" si="8"/>
        <v>0</v>
      </c>
      <c r="H151" s="58">
        <f t="shared" si="10"/>
        <v>9608.7800000000007</v>
      </c>
    </row>
    <row r="152" spans="1:8" ht="22.5" customHeight="1">
      <c r="A152" s="23"/>
      <c r="B152" s="34"/>
      <c r="C152" s="21"/>
      <c r="D152" s="24"/>
      <c r="E152" s="24"/>
      <c r="F152" s="25"/>
      <c r="G152" s="57">
        <f t="shared" si="8"/>
        <v>0</v>
      </c>
      <c r="H152" s="58">
        <f t="shared" si="10"/>
        <v>9608.7800000000007</v>
      </c>
    </row>
    <row r="153" spans="1:8" ht="22.5" customHeight="1">
      <c r="A153" s="23"/>
      <c r="B153" s="34"/>
      <c r="C153" s="21"/>
      <c r="D153" s="24"/>
      <c r="E153" s="24"/>
      <c r="F153" s="25"/>
      <c r="G153" s="57">
        <f t="shared" si="8"/>
        <v>0</v>
      </c>
      <c r="H153" s="58">
        <f t="shared" si="10"/>
        <v>9608.7800000000007</v>
      </c>
    </row>
    <row r="154" spans="1:8" ht="22.5" customHeight="1">
      <c r="A154" s="23"/>
      <c r="B154" s="34"/>
      <c r="C154" s="21"/>
      <c r="D154" s="24"/>
      <c r="E154" s="24"/>
      <c r="F154" s="25"/>
      <c r="G154" s="57">
        <f t="shared" si="8"/>
        <v>0</v>
      </c>
      <c r="H154" s="58">
        <f t="shared" si="10"/>
        <v>9608.7800000000007</v>
      </c>
    </row>
    <row r="155" spans="1:8" ht="22.5" customHeight="1">
      <c r="A155" s="23"/>
      <c r="B155" s="34"/>
      <c r="C155" s="21"/>
      <c r="D155" s="24"/>
      <c r="E155" s="24"/>
      <c r="F155" s="25"/>
      <c r="G155" s="57">
        <f t="shared" si="8"/>
        <v>0</v>
      </c>
      <c r="H155" s="58">
        <f t="shared" si="10"/>
        <v>9608.7800000000007</v>
      </c>
    </row>
    <row r="156" spans="1:8" ht="22.5" customHeight="1">
      <c r="A156" s="23"/>
      <c r="B156" s="34"/>
      <c r="C156" s="21"/>
      <c r="D156" s="24"/>
      <c r="E156" s="24"/>
      <c r="F156" s="25"/>
      <c r="G156" s="57">
        <f t="shared" si="8"/>
        <v>0</v>
      </c>
      <c r="H156" s="58">
        <f t="shared" si="10"/>
        <v>9608.7800000000007</v>
      </c>
    </row>
    <row r="157" spans="1:8" ht="22.5" customHeight="1">
      <c r="A157" s="23"/>
      <c r="B157" s="34"/>
      <c r="C157" s="21"/>
      <c r="D157" s="24"/>
      <c r="E157" s="24"/>
      <c r="F157" s="25"/>
      <c r="G157" s="57">
        <f t="shared" si="8"/>
        <v>0</v>
      </c>
      <c r="H157" s="58">
        <f t="shared" si="10"/>
        <v>9608.7800000000007</v>
      </c>
    </row>
    <row r="158" spans="1:8" ht="22.5" customHeight="1">
      <c r="A158" s="23"/>
      <c r="B158" s="34"/>
      <c r="C158" s="21"/>
      <c r="D158" s="24"/>
      <c r="E158" s="24"/>
      <c r="F158" s="25"/>
      <c r="G158" s="57">
        <f t="shared" si="8"/>
        <v>0</v>
      </c>
      <c r="H158" s="58">
        <f t="shared" si="10"/>
        <v>9608.7800000000007</v>
      </c>
    </row>
    <row r="159" spans="1:8" ht="22.5" customHeight="1">
      <c r="A159" s="23"/>
      <c r="B159" s="34"/>
      <c r="C159" s="21"/>
      <c r="D159" s="24"/>
      <c r="E159" s="24"/>
      <c r="F159" s="25"/>
      <c r="G159" s="57">
        <f t="shared" si="8"/>
        <v>0</v>
      </c>
      <c r="H159" s="58">
        <f t="shared" si="10"/>
        <v>9608.7800000000007</v>
      </c>
    </row>
    <row r="160" spans="1:8" ht="22.5" customHeight="1">
      <c r="A160" s="23"/>
      <c r="B160" s="34"/>
      <c r="C160" s="21"/>
      <c r="D160" s="24"/>
      <c r="E160" s="24"/>
      <c r="F160" s="25"/>
      <c r="G160" s="57">
        <f t="shared" si="8"/>
        <v>0</v>
      </c>
      <c r="H160" s="58">
        <f t="shared" si="10"/>
        <v>9608.7800000000007</v>
      </c>
    </row>
    <row r="161" spans="1:8" ht="22.5" customHeight="1">
      <c r="A161" s="23"/>
      <c r="B161" s="34"/>
      <c r="C161" s="21"/>
      <c r="D161" s="24"/>
      <c r="E161" s="24"/>
      <c r="F161" s="25"/>
      <c r="G161" s="57">
        <f t="shared" si="8"/>
        <v>0</v>
      </c>
      <c r="H161" s="58">
        <f t="shared" si="10"/>
        <v>9608.7800000000007</v>
      </c>
    </row>
    <row r="162" spans="1:8" ht="22.5" customHeight="1">
      <c r="A162" s="23"/>
      <c r="B162" s="34"/>
      <c r="C162" s="21"/>
      <c r="D162" s="24"/>
      <c r="E162" s="24"/>
      <c r="F162" s="25"/>
      <c r="G162" s="57">
        <f t="shared" si="8"/>
        <v>0</v>
      </c>
      <c r="H162" s="58">
        <f t="shared" si="10"/>
        <v>9608.7800000000007</v>
      </c>
    </row>
    <row r="163" spans="1:8" ht="22.5" customHeight="1">
      <c r="A163" s="23"/>
      <c r="B163" s="34"/>
      <c r="C163" s="21"/>
      <c r="D163" s="24"/>
      <c r="E163" s="24"/>
      <c r="F163" s="25"/>
      <c r="G163" s="57">
        <f t="shared" si="8"/>
        <v>0</v>
      </c>
      <c r="H163" s="58">
        <f t="shared" si="10"/>
        <v>9608.7800000000007</v>
      </c>
    </row>
    <row r="164" spans="1:8" ht="22.5" customHeight="1">
      <c r="A164" s="23"/>
      <c r="B164" s="34"/>
      <c r="C164" s="21"/>
      <c r="D164" s="24"/>
      <c r="E164" s="24"/>
      <c r="F164" s="25"/>
      <c r="G164" s="57">
        <f t="shared" si="8"/>
        <v>0</v>
      </c>
      <c r="H164" s="58">
        <f t="shared" si="10"/>
        <v>9608.7800000000007</v>
      </c>
    </row>
    <row r="165" spans="1:8" ht="22.5" customHeight="1">
      <c r="A165" s="23"/>
      <c r="B165" s="34"/>
      <c r="C165" s="21"/>
      <c r="D165" s="24"/>
      <c r="E165" s="24"/>
      <c r="F165" s="25"/>
      <c r="G165" s="57">
        <f t="shared" si="8"/>
        <v>0</v>
      </c>
      <c r="H165" s="58">
        <f t="shared" si="10"/>
        <v>9608.7800000000007</v>
      </c>
    </row>
    <row r="166" spans="1:8" ht="22.5" customHeight="1">
      <c r="A166" s="23"/>
      <c r="B166" s="34"/>
      <c r="C166" s="21"/>
      <c r="D166" s="24"/>
      <c r="E166" s="24"/>
      <c r="F166" s="25"/>
      <c r="G166" s="57">
        <f t="shared" si="8"/>
        <v>0</v>
      </c>
      <c r="H166" s="58">
        <f t="shared" si="10"/>
        <v>9608.7800000000007</v>
      </c>
    </row>
    <row r="167" spans="1:8" ht="22.5" customHeight="1">
      <c r="A167" s="23"/>
      <c r="B167" s="34"/>
      <c r="C167" s="21"/>
      <c r="D167" s="24"/>
      <c r="E167" s="24"/>
      <c r="F167" s="25"/>
      <c r="G167" s="57">
        <f t="shared" ref="G167:G198" si="11">IF(A167="Despesas",E167*-1,IF(A167="Receitas",E167,0))</f>
        <v>0</v>
      </c>
      <c r="H167" s="58">
        <f t="shared" si="10"/>
        <v>9608.7800000000007</v>
      </c>
    </row>
    <row r="168" spans="1:8" ht="22.5" customHeight="1">
      <c r="A168" s="23"/>
      <c r="B168" s="34"/>
      <c r="C168" s="21"/>
      <c r="D168" s="24"/>
      <c r="E168" s="24"/>
      <c r="F168" s="25"/>
      <c r="G168" s="57">
        <f t="shared" si="11"/>
        <v>0</v>
      </c>
      <c r="H168" s="58">
        <f t="shared" si="10"/>
        <v>9608.7800000000007</v>
      </c>
    </row>
    <row r="169" spans="1:8" ht="22.5" customHeight="1">
      <c r="A169" s="23"/>
      <c r="B169" s="34"/>
      <c r="C169" s="21"/>
      <c r="D169" s="24"/>
      <c r="E169" s="24"/>
      <c r="F169" s="25"/>
      <c r="G169" s="57">
        <f t="shared" si="11"/>
        <v>0</v>
      </c>
      <c r="H169" s="58">
        <f t="shared" si="10"/>
        <v>9608.7800000000007</v>
      </c>
    </row>
    <row r="170" spans="1:8" ht="22.5" customHeight="1">
      <c r="A170" s="23"/>
      <c r="B170" s="34"/>
      <c r="C170" s="21"/>
      <c r="D170" s="24"/>
      <c r="E170" s="24"/>
      <c r="F170" s="25"/>
      <c r="G170" s="57">
        <f t="shared" si="11"/>
        <v>0</v>
      </c>
      <c r="H170" s="58">
        <f t="shared" si="10"/>
        <v>9608.7800000000007</v>
      </c>
    </row>
    <row r="171" spans="1:8" ht="22.5" customHeight="1">
      <c r="A171" s="23"/>
      <c r="B171" s="34"/>
      <c r="C171" s="21"/>
      <c r="D171" s="24"/>
      <c r="E171" s="24"/>
      <c r="F171" s="25"/>
      <c r="G171" s="57">
        <f t="shared" si="11"/>
        <v>0</v>
      </c>
      <c r="H171" s="58">
        <f t="shared" si="10"/>
        <v>9608.7800000000007</v>
      </c>
    </row>
    <row r="172" spans="1:8" ht="22.5" customHeight="1">
      <c r="A172" s="23"/>
      <c r="B172" s="34"/>
      <c r="C172" s="21"/>
      <c r="D172" s="24"/>
      <c r="E172" s="24"/>
      <c r="F172" s="25"/>
      <c r="G172" s="57">
        <f t="shared" si="11"/>
        <v>0</v>
      </c>
      <c r="H172" s="58">
        <f t="shared" si="10"/>
        <v>9608.7800000000007</v>
      </c>
    </row>
    <row r="173" spans="1:8" ht="22.5" customHeight="1">
      <c r="A173" s="23"/>
      <c r="B173" s="34"/>
      <c r="C173" s="21"/>
      <c r="D173" s="24"/>
      <c r="E173" s="24"/>
      <c r="F173" s="25"/>
      <c r="G173" s="57">
        <f t="shared" si="11"/>
        <v>0</v>
      </c>
      <c r="H173" s="58">
        <f t="shared" si="10"/>
        <v>9608.7800000000007</v>
      </c>
    </row>
    <row r="174" spans="1:8" ht="22.5" customHeight="1">
      <c r="A174" s="23"/>
      <c r="B174" s="34"/>
      <c r="C174" s="21"/>
      <c r="D174" s="24"/>
      <c r="E174" s="24"/>
      <c r="F174" s="25"/>
      <c r="G174" s="57">
        <f t="shared" si="11"/>
        <v>0</v>
      </c>
      <c r="H174" s="58">
        <f t="shared" si="10"/>
        <v>9608.7800000000007</v>
      </c>
    </row>
    <row r="175" spans="1:8" ht="22.5" customHeight="1">
      <c r="A175" s="23"/>
      <c r="B175" s="34"/>
      <c r="C175" s="21"/>
      <c r="D175" s="24"/>
      <c r="E175" s="24"/>
      <c r="F175" s="25"/>
      <c r="G175" s="57">
        <f t="shared" si="11"/>
        <v>0</v>
      </c>
      <c r="H175" s="58">
        <f t="shared" si="10"/>
        <v>9608.7800000000007</v>
      </c>
    </row>
    <row r="176" spans="1:8" ht="22.5" customHeight="1">
      <c r="A176" s="23"/>
      <c r="B176" s="34"/>
      <c r="C176" s="21"/>
      <c r="D176" s="24"/>
      <c r="E176" s="24"/>
      <c r="F176" s="25"/>
      <c r="G176" s="57">
        <f t="shared" si="11"/>
        <v>0</v>
      </c>
      <c r="H176" s="58">
        <f t="shared" si="10"/>
        <v>9608.7800000000007</v>
      </c>
    </row>
    <row r="177" spans="1:8" ht="22.5" customHeight="1">
      <c r="A177" s="23"/>
      <c r="B177" s="34"/>
      <c r="C177" s="21"/>
      <c r="D177" s="24"/>
      <c r="E177" s="24"/>
      <c r="F177" s="25"/>
      <c r="G177" s="57">
        <f t="shared" si="11"/>
        <v>0</v>
      </c>
      <c r="H177" s="58">
        <f t="shared" si="10"/>
        <v>9608.7800000000007</v>
      </c>
    </row>
    <row r="178" spans="1:8" ht="22.5" customHeight="1">
      <c r="A178" s="23"/>
      <c r="B178" s="34"/>
      <c r="C178" s="21"/>
      <c r="D178" s="24"/>
      <c r="E178" s="24"/>
      <c r="F178" s="25"/>
      <c r="G178" s="57">
        <f t="shared" si="11"/>
        <v>0</v>
      </c>
      <c r="H178" s="58">
        <f t="shared" si="10"/>
        <v>9608.7800000000007</v>
      </c>
    </row>
    <row r="179" spans="1:8" ht="22.5" customHeight="1">
      <c r="A179" s="23"/>
      <c r="B179" s="34"/>
      <c r="C179" s="21"/>
      <c r="D179" s="24"/>
      <c r="E179" s="24"/>
      <c r="F179" s="25"/>
      <c r="G179" s="57">
        <f t="shared" si="11"/>
        <v>0</v>
      </c>
      <c r="H179" s="58">
        <f t="shared" si="10"/>
        <v>9608.7800000000007</v>
      </c>
    </row>
    <row r="180" spans="1:8" ht="22.5" customHeight="1">
      <c r="A180" s="23"/>
      <c r="B180" s="34"/>
      <c r="C180" s="21"/>
      <c r="D180" s="24"/>
      <c r="E180" s="24"/>
      <c r="F180" s="25"/>
      <c r="G180" s="57">
        <f t="shared" si="11"/>
        <v>0</v>
      </c>
      <c r="H180" s="58">
        <f t="shared" si="10"/>
        <v>9608.7800000000007</v>
      </c>
    </row>
    <row r="181" spans="1:8" ht="22.5" customHeight="1">
      <c r="A181" s="23"/>
      <c r="B181" s="34"/>
      <c r="C181" s="21"/>
      <c r="D181" s="24"/>
      <c r="E181" s="24"/>
      <c r="F181" s="25"/>
      <c r="G181" s="57">
        <f t="shared" si="11"/>
        <v>0</v>
      </c>
      <c r="H181" s="58">
        <f t="shared" si="10"/>
        <v>9608.7800000000007</v>
      </c>
    </row>
    <row r="182" spans="1:8" ht="22.5" customHeight="1">
      <c r="A182" s="23"/>
      <c r="B182" s="34"/>
      <c r="C182" s="21"/>
      <c r="D182" s="24"/>
      <c r="E182" s="24"/>
      <c r="F182" s="25"/>
      <c r="G182" s="57">
        <f t="shared" si="11"/>
        <v>0</v>
      </c>
      <c r="H182" s="58">
        <f t="shared" si="10"/>
        <v>9608.7800000000007</v>
      </c>
    </row>
    <row r="183" spans="1:8" ht="22.5" customHeight="1">
      <c r="A183" s="23"/>
      <c r="B183" s="34"/>
      <c r="C183" s="21"/>
      <c r="D183" s="24"/>
      <c r="E183" s="24"/>
      <c r="F183" s="25"/>
      <c r="G183" s="57">
        <f t="shared" si="11"/>
        <v>0</v>
      </c>
      <c r="H183" s="58">
        <f t="shared" si="10"/>
        <v>9608.7800000000007</v>
      </c>
    </row>
    <row r="184" spans="1:8" ht="22.5" customHeight="1">
      <c r="A184" s="23"/>
      <c r="B184" s="34"/>
      <c r="C184" s="21"/>
      <c r="D184" s="24"/>
      <c r="E184" s="24"/>
      <c r="F184" s="25"/>
      <c r="G184" s="57">
        <f t="shared" si="11"/>
        <v>0</v>
      </c>
      <c r="H184" s="58">
        <f t="shared" si="10"/>
        <v>9608.7800000000007</v>
      </c>
    </row>
    <row r="185" spans="1:8" ht="22.5" customHeight="1">
      <c r="A185" s="23"/>
      <c r="B185" s="34"/>
      <c r="C185" s="21"/>
      <c r="D185" s="24"/>
      <c r="E185" s="24"/>
      <c r="F185" s="25"/>
      <c r="G185" s="57">
        <f t="shared" si="11"/>
        <v>0</v>
      </c>
      <c r="H185" s="58">
        <f t="shared" si="10"/>
        <v>9608.7800000000007</v>
      </c>
    </row>
    <row r="186" spans="1:8" ht="22.5" customHeight="1">
      <c r="A186" s="23"/>
      <c r="B186" s="34"/>
      <c r="C186" s="21"/>
      <c r="D186" s="24"/>
      <c r="E186" s="24"/>
      <c r="F186" s="25"/>
      <c r="G186" s="57">
        <f t="shared" si="11"/>
        <v>0</v>
      </c>
      <c r="H186" s="58">
        <f t="shared" si="10"/>
        <v>9608.7800000000007</v>
      </c>
    </row>
    <row r="187" spans="1:8" ht="22.5" customHeight="1">
      <c r="A187" s="23"/>
      <c r="B187" s="34"/>
      <c r="C187" s="21"/>
      <c r="D187" s="24"/>
      <c r="E187" s="24"/>
      <c r="F187" s="25"/>
      <c r="G187" s="57">
        <f t="shared" si="11"/>
        <v>0</v>
      </c>
      <c r="H187" s="58">
        <f t="shared" si="10"/>
        <v>9608.7800000000007</v>
      </c>
    </row>
    <row r="188" spans="1:8" ht="22.5" customHeight="1">
      <c r="A188" s="23"/>
      <c r="B188" s="34"/>
      <c r="C188" s="21"/>
      <c r="D188" s="24"/>
      <c r="E188" s="24"/>
      <c r="F188" s="25"/>
      <c r="G188" s="57">
        <f t="shared" si="11"/>
        <v>0</v>
      </c>
      <c r="H188" s="58">
        <f t="shared" si="10"/>
        <v>9608.7800000000007</v>
      </c>
    </row>
    <row r="189" spans="1:8" ht="22.5" customHeight="1">
      <c r="A189" s="23"/>
      <c r="B189" s="34"/>
      <c r="C189" s="21"/>
      <c r="D189" s="24"/>
      <c r="E189" s="24"/>
      <c r="F189" s="25"/>
      <c r="G189" s="57">
        <f t="shared" si="11"/>
        <v>0</v>
      </c>
      <c r="H189" s="58">
        <f t="shared" si="10"/>
        <v>9608.7800000000007</v>
      </c>
    </row>
    <row r="190" spans="1:8" ht="22.5" customHeight="1">
      <c r="A190" s="23"/>
      <c r="B190" s="34"/>
      <c r="C190" s="21"/>
      <c r="D190" s="24"/>
      <c r="E190" s="24"/>
      <c r="F190" s="25"/>
      <c r="G190" s="57">
        <f t="shared" si="11"/>
        <v>0</v>
      </c>
      <c r="H190" s="58">
        <f t="shared" si="10"/>
        <v>9608.7800000000007</v>
      </c>
    </row>
    <row r="191" spans="1:8" ht="22.5" customHeight="1">
      <c r="A191" s="23"/>
      <c r="B191" s="34"/>
      <c r="C191" s="21"/>
      <c r="D191" s="24"/>
      <c r="E191" s="24"/>
      <c r="F191" s="25"/>
      <c r="G191" s="57">
        <f t="shared" si="11"/>
        <v>0</v>
      </c>
      <c r="H191" s="58">
        <f t="shared" si="10"/>
        <v>9608.7800000000007</v>
      </c>
    </row>
    <row r="192" spans="1:8" ht="22.5" customHeight="1">
      <c r="A192" s="23"/>
      <c r="B192" s="34"/>
      <c r="C192" s="21"/>
      <c r="D192" s="24"/>
      <c r="E192" s="24"/>
      <c r="F192" s="25"/>
      <c r="G192" s="57">
        <f t="shared" si="11"/>
        <v>0</v>
      </c>
      <c r="H192" s="58">
        <f t="shared" si="10"/>
        <v>9608.7800000000007</v>
      </c>
    </row>
    <row r="193" spans="1:8" ht="22.5" customHeight="1">
      <c r="A193" s="23"/>
      <c r="B193" s="34"/>
      <c r="C193" s="21"/>
      <c r="D193" s="24"/>
      <c r="E193" s="24"/>
      <c r="F193" s="25"/>
      <c r="G193" s="57">
        <f t="shared" si="11"/>
        <v>0</v>
      </c>
      <c r="H193" s="58">
        <f t="shared" si="10"/>
        <v>9608.7800000000007</v>
      </c>
    </row>
    <row r="194" spans="1:8" ht="22.5" customHeight="1">
      <c r="A194" s="23"/>
      <c r="B194" s="34"/>
      <c r="C194" s="21"/>
      <c r="D194" s="24"/>
      <c r="E194" s="24"/>
      <c r="F194" s="25"/>
      <c r="G194" s="57">
        <f t="shared" si="11"/>
        <v>0</v>
      </c>
      <c r="H194" s="58">
        <f t="shared" si="10"/>
        <v>9608.7800000000007</v>
      </c>
    </row>
    <row r="195" spans="1:8" ht="22.5" customHeight="1">
      <c r="A195" s="23"/>
      <c r="B195" s="34"/>
      <c r="C195" s="21"/>
      <c r="D195" s="24"/>
      <c r="E195" s="24"/>
      <c r="F195" s="25"/>
      <c r="G195" s="57">
        <f t="shared" si="11"/>
        <v>0</v>
      </c>
      <c r="H195" s="58">
        <f t="shared" si="10"/>
        <v>9608.7800000000007</v>
      </c>
    </row>
    <row r="196" spans="1:8" ht="22.5" customHeight="1">
      <c r="A196" s="23"/>
      <c r="B196" s="34"/>
      <c r="C196" s="21"/>
      <c r="D196" s="24"/>
      <c r="E196" s="24"/>
      <c r="F196" s="25"/>
      <c r="G196" s="57">
        <f t="shared" si="11"/>
        <v>0</v>
      </c>
      <c r="H196" s="58">
        <f t="shared" si="10"/>
        <v>9608.7800000000007</v>
      </c>
    </row>
    <row r="197" spans="1:8" ht="22.5" customHeight="1">
      <c r="A197" s="23"/>
      <c r="B197" s="34"/>
      <c r="C197" s="21"/>
      <c r="D197" s="24"/>
      <c r="E197" s="24"/>
      <c r="F197" s="25"/>
      <c r="G197" s="57">
        <f t="shared" si="11"/>
        <v>0</v>
      </c>
      <c r="H197" s="58">
        <f t="shared" si="10"/>
        <v>9608.7800000000007</v>
      </c>
    </row>
    <row r="198" spans="1:8" ht="22.5" customHeight="1">
      <c r="A198" s="23"/>
      <c r="B198" s="34"/>
      <c r="C198" s="21"/>
      <c r="D198" s="24"/>
      <c r="E198" s="24"/>
      <c r="F198" s="25"/>
      <c r="G198" s="57">
        <f t="shared" si="11"/>
        <v>0</v>
      </c>
      <c r="H198" s="58">
        <f t="shared" si="10"/>
        <v>9608.7800000000007</v>
      </c>
    </row>
    <row r="199" spans="1:8" ht="22.5" customHeight="1">
      <c r="A199" s="23"/>
      <c r="B199" s="34"/>
      <c r="C199" s="21"/>
      <c r="D199" s="24"/>
      <c r="E199" s="24"/>
      <c r="F199" s="25"/>
      <c r="G199" s="57">
        <f t="shared" ref="G199:G206" si="12">IF(A199="Despesas",E199*-1,IF(A199="Receitas",E199,0))</f>
        <v>0</v>
      </c>
      <c r="H199" s="58">
        <f t="shared" si="10"/>
        <v>9608.7800000000007</v>
      </c>
    </row>
    <row r="200" spans="1:8" ht="22.5" customHeight="1">
      <c r="A200" s="23"/>
      <c r="B200" s="34"/>
      <c r="C200" s="21"/>
      <c r="D200" s="24"/>
      <c r="E200" s="24"/>
      <c r="F200" s="25"/>
      <c r="G200" s="57">
        <f t="shared" si="12"/>
        <v>0</v>
      </c>
      <c r="H200" s="58">
        <f t="shared" si="10"/>
        <v>9608.7800000000007</v>
      </c>
    </row>
    <row r="201" spans="1:8" ht="22.5" customHeight="1">
      <c r="A201" s="23"/>
      <c r="B201" s="34"/>
      <c r="C201" s="21"/>
      <c r="D201" s="24"/>
      <c r="E201" s="24"/>
      <c r="F201" s="25"/>
      <c r="G201" s="57">
        <f t="shared" si="12"/>
        <v>0</v>
      </c>
      <c r="H201" s="58">
        <f t="shared" si="10"/>
        <v>9608.7800000000007</v>
      </c>
    </row>
    <row r="202" spans="1:8" ht="22.5" customHeight="1">
      <c r="A202" s="23"/>
      <c r="B202" s="34"/>
      <c r="C202" s="21"/>
      <c r="D202" s="24"/>
      <c r="E202" s="24"/>
      <c r="F202" s="25"/>
      <c r="G202" s="57">
        <f t="shared" si="12"/>
        <v>0</v>
      </c>
      <c r="H202" s="58">
        <f t="shared" si="10"/>
        <v>9608.7800000000007</v>
      </c>
    </row>
    <row r="203" spans="1:8" ht="22.5" customHeight="1">
      <c r="A203" s="23"/>
      <c r="B203" s="34"/>
      <c r="C203" s="21"/>
      <c r="D203" s="24"/>
      <c r="E203" s="24"/>
      <c r="F203" s="25"/>
      <c r="G203" s="57">
        <f t="shared" si="12"/>
        <v>0</v>
      </c>
      <c r="H203" s="58">
        <f t="shared" si="10"/>
        <v>9608.7800000000007</v>
      </c>
    </row>
    <row r="204" spans="1:8" ht="22.5" customHeight="1">
      <c r="A204" s="23"/>
      <c r="B204" s="34"/>
      <c r="C204" s="21"/>
      <c r="D204" s="24"/>
      <c r="E204" s="24"/>
      <c r="F204" s="25"/>
      <c r="G204" s="57">
        <f t="shared" si="12"/>
        <v>0</v>
      </c>
      <c r="H204" s="58">
        <f t="shared" si="10"/>
        <v>9608.7800000000007</v>
      </c>
    </row>
    <row r="205" spans="1:8" ht="22.5" customHeight="1">
      <c r="A205" s="23"/>
      <c r="B205" s="34"/>
      <c r="C205" s="21"/>
      <c r="D205" s="24"/>
      <c r="E205" s="24"/>
      <c r="F205" s="25"/>
      <c r="G205" s="57">
        <f t="shared" si="12"/>
        <v>0</v>
      </c>
      <c r="H205" s="58">
        <f t="shared" si="10"/>
        <v>9608.7800000000007</v>
      </c>
    </row>
    <row r="206" spans="1:8" ht="22.5" customHeight="1">
      <c r="A206" s="23"/>
      <c r="B206" s="34"/>
      <c r="C206" s="21"/>
      <c r="D206" s="24"/>
      <c r="E206" s="24"/>
      <c r="F206" s="25"/>
      <c r="G206" s="57">
        <f t="shared" si="12"/>
        <v>0</v>
      </c>
      <c r="H206" s="58">
        <f t="shared" si="10"/>
        <v>9608.7800000000007</v>
      </c>
    </row>
    <row r="207" spans="1:8" ht="22.5" customHeight="1">
      <c r="A207" s="54" t="s">
        <v>71</v>
      </c>
      <c r="B207" s="34" t="s">
        <v>72</v>
      </c>
      <c r="C207" s="54" t="s">
        <v>71</v>
      </c>
      <c r="D207" s="54" t="s">
        <v>71</v>
      </c>
      <c r="E207" s="54" t="s">
        <v>71</v>
      </c>
      <c r="F207" s="54" t="s">
        <v>71</v>
      </c>
      <c r="G207" s="59" t="s">
        <v>71</v>
      </c>
      <c r="H207" s="60" t="s">
        <v>72</v>
      </c>
    </row>
  </sheetData>
  <mergeCells count="4">
    <mergeCell ref="A1:A4"/>
    <mergeCell ref="C1:E3"/>
    <mergeCell ref="F1:F3"/>
    <mergeCell ref="H2:H3"/>
  </mergeCells>
  <conditionalFormatting sqref="H7:H207">
    <cfRule type="cellIs" dxfId="10" priority="1" operator="lessThan">
      <formula>0</formula>
    </cfRule>
  </conditionalFormatting>
  <dataValidations count="6">
    <dataValidation type="list" allowBlank="1" sqref="C7:C206" xr:uid="{D39468E8-A7FC-46BE-8AF9-5142FBEF97F9}">
      <formula1>Bancos</formula1>
    </dataValidation>
    <dataValidation type="list" allowBlank="1" sqref="B7:B206" xr:uid="{B6948185-BE54-4961-9989-B9D030F58A5E}">
      <formula1>INDIRECT(A7)</formula1>
    </dataValidation>
    <dataValidation type="list" allowBlank="1" sqref="B207" xr:uid="{45C06AF3-526E-498E-B41C-EDE6EB4A2F21}">
      <formula1>INDIRECT($A$7)</formula1>
    </dataValidation>
    <dataValidation type="list" allowBlank="1" sqref="C207:G207 A207 C6" xr:uid="{0AF808A3-F5F6-454A-9F89-1FB3455FB32C}">
      <formula1>#REF!</formula1>
    </dataValidation>
    <dataValidation type="list" allowBlank="1" sqref="A7:A206 A6:B6" xr:uid="{22A8FBCB-56E8-4716-97AE-9A50A2BBE2FA}">
      <formula1>"Receitas,Despesas"</formula1>
    </dataValidation>
    <dataValidation type="custom" allowBlank="1" showDropDown="1" sqref="F6:F206" xr:uid="{C0354A03-DF46-4DD6-8F82-602694A31275}">
      <formula1>OR(NOT(ISERROR(DATEVALUE(F6))), AND(ISNUMBER(F6), LEFT(CELL("format", F6))="D"))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A305-3BDE-4C73-80FF-CA3CF6D823AD}">
  <sheetPr>
    <outlinePr summaryBelow="0" summaryRight="0"/>
  </sheetPr>
  <dimension ref="A1:J207"/>
  <sheetViews>
    <sheetView showGridLines="0" workbookViewId="0">
      <selection activeCell="C1" sqref="C1:E3"/>
    </sheetView>
  </sheetViews>
  <sheetFormatPr defaultColWidth="12.5703125" defaultRowHeight="15.75" customHeight="1"/>
  <cols>
    <col min="1" max="1" width="9.28515625" style="27" bestFit="1" customWidth="1"/>
    <col min="2" max="2" width="30.85546875" style="27" bestFit="1" customWidth="1"/>
    <col min="3" max="3" width="20.85546875" style="27" bestFit="1" customWidth="1"/>
    <col min="4" max="4" width="13.85546875" style="27" bestFit="1" customWidth="1"/>
    <col min="5" max="5" width="11.7109375" bestFit="1" customWidth="1"/>
    <col min="6" max="6" width="16.28515625" style="27" customWidth="1"/>
    <col min="7" max="7" width="11.7109375" style="27" hidden="1" customWidth="1"/>
    <col min="8" max="8" width="22.5703125" style="33" bestFit="1" customWidth="1"/>
    <col min="9" max="10" width="12.5703125" style="27" hidden="1" customWidth="1"/>
  </cols>
  <sheetData>
    <row r="1" spans="1:8" ht="19.5" customHeight="1">
      <c r="A1" s="70"/>
      <c r="B1" s="13"/>
      <c r="C1" s="74" t="s">
        <v>55</v>
      </c>
      <c r="D1" s="66"/>
      <c r="E1" s="62"/>
      <c r="F1" s="73" t="s">
        <v>44</v>
      </c>
      <c r="G1" s="14"/>
      <c r="H1" s="35" t="s">
        <v>43</v>
      </c>
    </row>
    <row r="2" spans="1:8" ht="12.75" customHeight="1">
      <c r="A2" s="66"/>
      <c r="B2" s="15"/>
      <c r="C2" s="66"/>
      <c r="D2" s="66"/>
      <c r="E2" s="62"/>
      <c r="F2" s="73"/>
      <c r="G2" s="14"/>
      <c r="H2" s="72">
        <f>FEV!H206</f>
        <v>9608.7800000000007</v>
      </c>
    </row>
    <row r="3" spans="1:8" ht="23.25" customHeight="1">
      <c r="A3" s="66"/>
      <c r="B3" s="12"/>
      <c r="C3" s="66"/>
      <c r="D3" s="66"/>
      <c r="E3" s="62"/>
      <c r="F3" s="73"/>
      <c r="G3" s="14"/>
      <c r="H3" s="72"/>
    </row>
    <row r="4" spans="1:8" ht="12.75">
      <c r="A4" s="66"/>
      <c r="B4" s="13"/>
      <c r="C4" s="16"/>
      <c r="D4" s="16"/>
      <c r="E4" s="16"/>
      <c r="F4" s="14"/>
      <c r="G4" s="14"/>
      <c r="H4" s="31"/>
    </row>
    <row r="5" spans="1:8" ht="22.5" customHeight="1">
      <c r="A5" s="28" t="s">
        <v>45</v>
      </c>
      <c r="B5" s="29" t="s">
        <v>46</v>
      </c>
      <c r="C5" s="30" t="s">
        <v>47</v>
      </c>
      <c r="D5" s="29" t="s">
        <v>48</v>
      </c>
      <c r="E5" s="36" t="s">
        <v>49</v>
      </c>
      <c r="F5" s="29" t="s">
        <v>50</v>
      </c>
      <c r="G5" s="32" t="s">
        <v>67</v>
      </c>
      <c r="H5" s="36" t="s">
        <v>51</v>
      </c>
    </row>
    <row r="6" spans="1:8" ht="22.5" customHeight="1">
      <c r="A6" s="26"/>
      <c r="B6" s="26"/>
      <c r="C6" s="26"/>
      <c r="D6" s="26" t="s">
        <v>52</v>
      </c>
      <c r="E6" s="17">
        <f>H2</f>
        <v>9608.7800000000007</v>
      </c>
      <c r="F6" s="18">
        <v>46081</v>
      </c>
      <c r="G6" s="55">
        <f>E6</f>
        <v>9608.7800000000007</v>
      </c>
      <c r="H6" s="56">
        <f>E6</f>
        <v>9608.7800000000007</v>
      </c>
    </row>
    <row r="7" spans="1:8" ht="22.5" customHeight="1">
      <c r="A7" s="34"/>
      <c r="B7" s="34"/>
      <c r="C7" s="21"/>
      <c r="D7" s="22"/>
      <c r="E7" s="22"/>
      <c r="F7" s="19"/>
      <c r="G7" s="57">
        <f t="shared" ref="G7:G38" si="0">IF(A7="Despesas",E7*-1,IF(A7="Receitas",E7,0))</f>
        <v>0</v>
      </c>
      <c r="H7" s="58">
        <f t="shared" ref="H7:H38" si="1">H6+G7</f>
        <v>9608.7800000000007</v>
      </c>
    </row>
    <row r="8" spans="1:8" ht="22.5" customHeight="1">
      <c r="A8" s="34"/>
      <c r="B8" s="34"/>
      <c r="C8" s="21"/>
      <c r="D8" s="22"/>
      <c r="E8" s="22"/>
      <c r="F8" s="20"/>
      <c r="G8" s="57">
        <f t="shared" si="0"/>
        <v>0</v>
      </c>
      <c r="H8" s="58">
        <f t="shared" si="1"/>
        <v>9608.7800000000007</v>
      </c>
    </row>
    <row r="9" spans="1:8" ht="22.5" customHeight="1">
      <c r="A9" s="21"/>
      <c r="B9" s="34"/>
      <c r="C9" s="21"/>
      <c r="D9" s="22"/>
      <c r="E9" s="22"/>
      <c r="F9" s="19"/>
      <c r="G9" s="57">
        <f t="shared" si="0"/>
        <v>0</v>
      </c>
      <c r="H9" s="58">
        <f t="shared" si="1"/>
        <v>9608.7800000000007</v>
      </c>
    </row>
    <row r="10" spans="1:8" ht="22.5" customHeight="1">
      <c r="A10" s="21"/>
      <c r="B10" s="34"/>
      <c r="C10" s="21"/>
      <c r="D10" s="22"/>
      <c r="E10" s="22"/>
      <c r="F10" s="20"/>
      <c r="G10" s="57">
        <f t="shared" si="0"/>
        <v>0</v>
      </c>
      <c r="H10" s="58">
        <f t="shared" si="1"/>
        <v>9608.7800000000007</v>
      </c>
    </row>
    <row r="11" spans="1:8" ht="22.5" customHeight="1">
      <c r="A11" s="21"/>
      <c r="B11" s="34"/>
      <c r="C11" s="21"/>
      <c r="D11" s="22"/>
      <c r="E11" s="22"/>
      <c r="F11" s="19"/>
      <c r="G11" s="57">
        <f t="shared" si="0"/>
        <v>0</v>
      </c>
      <c r="H11" s="58">
        <f t="shared" si="1"/>
        <v>9608.7800000000007</v>
      </c>
    </row>
    <row r="12" spans="1:8" ht="22.5" customHeight="1">
      <c r="A12" s="21"/>
      <c r="B12" s="34"/>
      <c r="C12" s="21"/>
      <c r="D12" s="22"/>
      <c r="E12" s="22"/>
      <c r="F12" s="20"/>
      <c r="G12" s="57">
        <f t="shared" si="0"/>
        <v>0</v>
      </c>
      <c r="H12" s="58">
        <f t="shared" si="1"/>
        <v>9608.7800000000007</v>
      </c>
    </row>
    <row r="13" spans="1:8" ht="22.5" customHeight="1">
      <c r="A13" s="21"/>
      <c r="B13" s="34"/>
      <c r="C13" s="21"/>
      <c r="D13" s="22"/>
      <c r="E13" s="22"/>
      <c r="F13" s="19"/>
      <c r="G13" s="57">
        <f t="shared" si="0"/>
        <v>0</v>
      </c>
      <c r="H13" s="58">
        <f t="shared" si="1"/>
        <v>9608.7800000000007</v>
      </c>
    </row>
    <row r="14" spans="1:8" ht="22.5" customHeight="1">
      <c r="A14" s="21"/>
      <c r="B14" s="34"/>
      <c r="C14" s="21"/>
      <c r="D14" s="22"/>
      <c r="E14" s="22"/>
      <c r="F14" s="20"/>
      <c r="G14" s="57">
        <f t="shared" si="0"/>
        <v>0</v>
      </c>
      <c r="H14" s="58">
        <f t="shared" si="1"/>
        <v>9608.7800000000007</v>
      </c>
    </row>
    <row r="15" spans="1:8" ht="22.5" customHeight="1">
      <c r="A15" s="21"/>
      <c r="B15" s="34"/>
      <c r="C15" s="21"/>
      <c r="D15" s="22"/>
      <c r="E15" s="22"/>
      <c r="F15" s="19"/>
      <c r="G15" s="57">
        <f t="shared" si="0"/>
        <v>0</v>
      </c>
      <c r="H15" s="58">
        <f t="shared" si="1"/>
        <v>9608.7800000000007</v>
      </c>
    </row>
    <row r="16" spans="1:8" ht="22.5" customHeight="1">
      <c r="A16" s="21"/>
      <c r="B16" s="34"/>
      <c r="C16" s="21"/>
      <c r="D16" s="22"/>
      <c r="E16" s="22"/>
      <c r="F16" s="20"/>
      <c r="G16" s="57">
        <f t="shared" si="0"/>
        <v>0</v>
      </c>
      <c r="H16" s="58">
        <f t="shared" si="1"/>
        <v>9608.7800000000007</v>
      </c>
    </row>
    <row r="17" spans="1:8" ht="22.5" customHeight="1">
      <c r="A17" s="21"/>
      <c r="B17" s="34"/>
      <c r="C17" s="21"/>
      <c r="D17" s="22"/>
      <c r="E17" s="22"/>
      <c r="F17" s="19"/>
      <c r="G17" s="57">
        <f t="shared" si="0"/>
        <v>0</v>
      </c>
      <c r="H17" s="58">
        <f t="shared" si="1"/>
        <v>9608.7800000000007</v>
      </c>
    </row>
    <row r="18" spans="1:8" ht="22.5" customHeight="1">
      <c r="A18" s="21"/>
      <c r="B18" s="34"/>
      <c r="C18" s="21"/>
      <c r="D18" s="22"/>
      <c r="E18" s="22"/>
      <c r="F18" s="20"/>
      <c r="G18" s="57">
        <f t="shared" si="0"/>
        <v>0</v>
      </c>
      <c r="H18" s="58">
        <f t="shared" si="1"/>
        <v>9608.7800000000007</v>
      </c>
    </row>
    <row r="19" spans="1:8" ht="22.5" customHeight="1">
      <c r="A19" s="21"/>
      <c r="B19" s="34"/>
      <c r="C19" s="21"/>
      <c r="D19" s="22"/>
      <c r="E19" s="22"/>
      <c r="F19" s="19"/>
      <c r="G19" s="57">
        <f t="shared" si="0"/>
        <v>0</v>
      </c>
      <c r="H19" s="58">
        <f t="shared" si="1"/>
        <v>9608.7800000000007</v>
      </c>
    </row>
    <row r="20" spans="1:8" ht="22.5" customHeight="1">
      <c r="A20" s="21"/>
      <c r="B20" s="34"/>
      <c r="C20" s="21"/>
      <c r="D20" s="22"/>
      <c r="E20" s="22"/>
      <c r="F20" s="20"/>
      <c r="G20" s="57">
        <f t="shared" si="0"/>
        <v>0</v>
      </c>
      <c r="H20" s="58">
        <f t="shared" si="1"/>
        <v>9608.7800000000007</v>
      </c>
    </row>
    <row r="21" spans="1:8" ht="22.5" customHeight="1">
      <c r="A21" s="21"/>
      <c r="B21" s="34"/>
      <c r="C21" s="21"/>
      <c r="D21" s="22"/>
      <c r="E21" s="22"/>
      <c r="F21" s="19"/>
      <c r="G21" s="57">
        <f t="shared" si="0"/>
        <v>0</v>
      </c>
      <c r="H21" s="58">
        <f t="shared" si="1"/>
        <v>9608.7800000000007</v>
      </c>
    </row>
    <row r="22" spans="1:8" ht="22.5" customHeight="1">
      <c r="A22" s="21"/>
      <c r="B22" s="34"/>
      <c r="C22" s="21"/>
      <c r="D22" s="22"/>
      <c r="E22" s="22"/>
      <c r="F22" s="20"/>
      <c r="G22" s="57">
        <f t="shared" si="0"/>
        <v>0</v>
      </c>
      <c r="H22" s="58">
        <f t="shared" si="1"/>
        <v>9608.7800000000007</v>
      </c>
    </row>
    <row r="23" spans="1:8" ht="22.5" customHeight="1">
      <c r="A23" s="21"/>
      <c r="B23" s="34"/>
      <c r="C23" s="21"/>
      <c r="D23" s="22"/>
      <c r="E23" s="22"/>
      <c r="F23" s="19"/>
      <c r="G23" s="57">
        <f t="shared" si="0"/>
        <v>0</v>
      </c>
      <c r="H23" s="58">
        <f t="shared" si="1"/>
        <v>9608.7800000000007</v>
      </c>
    </row>
    <row r="24" spans="1:8" ht="22.5" customHeight="1">
      <c r="A24" s="21"/>
      <c r="B24" s="34"/>
      <c r="C24" s="21"/>
      <c r="D24" s="22"/>
      <c r="E24" s="22"/>
      <c r="F24" s="20"/>
      <c r="G24" s="57">
        <f t="shared" si="0"/>
        <v>0</v>
      </c>
      <c r="H24" s="58">
        <f t="shared" si="1"/>
        <v>9608.7800000000007</v>
      </c>
    </row>
    <row r="25" spans="1:8" ht="22.5" customHeight="1">
      <c r="A25" s="21"/>
      <c r="B25" s="34"/>
      <c r="C25" s="21"/>
      <c r="D25" s="22"/>
      <c r="E25" s="22"/>
      <c r="F25" s="19"/>
      <c r="G25" s="57">
        <f t="shared" si="0"/>
        <v>0</v>
      </c>
      <c r="H25" s="58">
        <f t="shared" si="1"/>
        <v>9608.7800000000007</v>
      </c>
    </row>
    <row r="26" spans="1:8" ht="22.5" customHeight="1">
      <c r="A26" s="21"/>
      <c r="B26" s="34"/>
      <c r="C26" s="21"/>
      <c r="D26" s="22"/>
      <c r="E26" s="22"/>
      <c r="F26" s="20"/>
      <c r="G26" s="57">
        <f t="shared" si="0"/>
        <v>0</v>
      </c>
      <c r="H26" s="58">
        <f t="shared" si="1"/>
        <v>9608.7800000000007</v>
      </c>
    </row>
    <row r="27" spans="1:8" ht="22.5" customHeight="1">
      <c r="A27" s="21"/>
      <c r="B27" s="34"/>
      <c r="C27" s="21"/>
      <c r="D27" s="22"/>
      <c r="E27" s="22"/>
      <c r="F27" s="19"/>
      <c r="G27" s="57">
        <f t="shared" si="0"/>
        <v>0</v>
      </c>
      <c r="H27" s="58">
        <f t="shared" si="1"/>
        <v>9608.7800000000007</v>
      </c>
    </row>
    <row r="28" spans="1:8" ht="22.5" customHeight="1">
      <c r="A28" s="21"/>
      <c r="B28" s="34"/>
      <c r="C28" s="21"/>
      <c r="D28" s="22"/>
      <c r="E28" s="22"/>
      <c r="F28" s="20"/>
      <c r="G28" s="57">
        <f t="shared" si="0"/>
        <v>0</v>
      </c>
      <c r="H28" s="58">
        <f t="shared" si="1"/>
        <v>9608.7800000000007</v>
      </c>
    </row>
    <row r="29" spans="1:8" ht="22.5" customHeight="1">
      <c r="A29" s="21"/>
      <c r="B29" s="34"/>
      <c r="C29" s="21"/>
      <c r="D29" s="22"/>
      <c r="E29" s="22"/>
      <c r="F29" s="19"/>
      <c r="G29" s="57">
        <f t="shared" si="0"/>
        <v>0</v>
      </c>
      <c r="H29" s="58">
        <f t="shared" si="1"/>
        <v>9608.7800000000007</v>
      </c>
    </row>
    <row r="30" spans="1:8" ht="22.5" customHeight="1">
      <c r="A30" s="21"/>
      <c r="B30" s="34"/>
      <c r="C30" s="21"/>
      <c r="D30" s="22"/>
      <c r="E30" s="22"/>
      <c r="F30" s="20"/>
      <c r="G30" s="57">
        <f t="shared" si="0"/>
        <v>0</v>
      </c>
      <c r="H30" s="58">
        <f t="shared" si="1"/>
        <v>9608.7800000000007</v>
      </c>
    </row>
    <row r="31" spans="1:8" ht="22.5" customHeight="1">
      <c r="A31" s="21"/>
      <c r="B31" s="34"/>
      <c r="C31" s="21"/>
      <c r="D31" s="22"/>
      <c r="E31" s="22"/>
      <c r="F31" s="19"/>
      <c r="G31" s="57">
        <f t="shared" si="0"/>
        <v>0</v>
      </c>
      <c r="H31" s="58">
        <f t="shared" si="1"/>
        <v>9608.7800000000007</v>
      </c>
    </row>
    <row r="32" spans="1:8" ht="22.5" customHeight="1">
      <c r="A32" s="21"/>
      <c r="B32" s="34"/>
      <c r="C32" s="21"/>
      <c r="D32" s="22"/>
      <c r="E32" s="22"/>
      <c r="F32" s="20"/>
      <c r="G32" s="57">
        <f t="shared" si="0"/>
        <v>0</v>
      </c>
      <c r="H32" s="58">
        <f t="shared" si="1"/>
        <v>9608.7800000000007</v>
      </c>
    </row>
    <row r="33" spans="1:8" ht="22.5" customHeight="1">
      <c r="A33" s="21"/>
      <c r="B33" s="34"/>
      <c r="C33" s="21"/>
      <c r="D33" s="22"/>
      <c r="E33" s="22"/>
      <c r="F33" s="19"/>
      <c r="G33" s="57">
        <f t="shared" si="0"/>
        <v>0</v>
      </c>
      <c r="H33" s="58">
        <f t="shared" si="1"/>
        <v>9608.7800000000007</v>
      </c>
    </row>
    <row r="34" spans="1:8" ht="22.5" customHeight="1">
      <c r="A34" s="23"/>
      <c r="B34" s="34"/>
      <c r="C34" s="21"/>
      <c r="D34" s="24"/>
      <c r="E34" s="24"/>
      <c r="F34" s="20"/>
      <c r="G34" s="57">
        <f t="shared" si="0"/>
        <v>0</v>
      </c>
      <c r="H34" s="58">
        <f t="shared" si="1"/>
        <v>9608.7800000000007</v>
      </c>
    </row>
    <row r="35" spans="1:8" ht="22.5" customHeight="1">
      <c r="A35" s="23"/>
      <c r="B35" s="34"/>
      <c r="C35" s="21"/>
      <c r="D35" s="24"/>
      <c r="E35" s="24"/>
      <c r="F35" s="19"/>
      <c r="G35" s="57">
        <f t="shared" si="0"/>
        <v>0</v>
      </c>
      <c r="H35" s="58">
        <f t="shared" si="1"/>
        <v>9608.7800000000007</v>
      </c>
    </row>
    <row r="36" spans="1:8" ht="22.5" customHeight="1">
      <c r="A36" s="23"/>
      <c r="B36" s="34"/>
      <c r="C36" s="21"/>
      <c r="D36" s="24"/>
      <c r="E36" s="24"/>
      <c r="F36" s="20"/>
      <c r="G36" s="57">
        <f t="shared" si="0"/>
        <v>0</v>
      </c>
      <c r="H36" s="58">
        <f t="shared" si="1"/>
        <v>9608.7800000000007</v>
      </c>
    </row>
    <row r="37" spans="1:8" ht="22.5" customHeight="1">
      <c r="A37" s="23"/>
      <c r="B37" s="34"/>
      <c r="C37" s="21"/>
      <c r="D37" s="24"/>
      <c r="E37" s="24"/>
      <c r="F37" s="19"/>
      <c r="G37" s="57">
        <f t="shared" si="0"/>
        <v>0</v>
      </c>
      <c r="H37" s="58">
        <f t="shared" si="1"/>
        <v>9608.7800000000007</v>
      </c>
    </row>
    <row r="38" spans="1:8" ht="22.5" customHeight="1">
      <c r="A38" s="23"/>
      <c r="B38" s="34"/>
      <c r="C38" s="21"/>
      <c r="D38" s="24"/>
      <c r="E38" s="24"/>
      <c r="F38" s="25"/>
      <c r="G38" s="57">
        <f t="shared" si="0"/>
        <v>0</v>
      </c>
      <c r="H38" s="58">
        <f t="shared" si="1"/>
        <v>9608.7800000000007</v>
      </c>
    </row>
    <row r="39" spans="1:8" ht="22.5" customHeight="1">
      <c r="A39" s="23"/>
      <c r="B39" s="34"/>
      <c r="C39" s="21"/>
      <c r="D39" s="24"/>
      <c r="E39" s="24"/>
      <c r="F39" s="25"/>
      <c r="G39" s="57">
        <f t="shared" ref="G39:G70" si="2">IF(A39="Despesas",E39*-1,IF(A39="Receitas",E39,0))</f>
        <v>0</v>
      </c>
      <c r="H39" s="58">
        <f t="shared" ref="H39:H70" si="3">H38+G39</f>
        <v>9608.7800000000007</v>
      </c>
    </row>
    <row r="40" spans="1:8" ht="22.5" customHeight="1">
      <c r="A40" s="23"/>
      <c r="B40" s="34"/>
      <c r="C40" s="21"/>
      <c r="D40" s="24"/>
      <c r="E40" s="24"/>
      <c r="F40" s="25"/>
      <c r="G40" s="57">
        <f t="shared" si="2"/>
        <v>0</v>
      </c>
      <c r="H40" s="58">
        <f t="shared" si="3"/>
        <v>9608.7800000000007</v>
      </c>
    </row>
    <row r="41" spans="1:8" ht="22.5" customHeight="1">
      <c r="A41" s="23"/>
      <c r="B41" s="34"/>
      <c r="C41" s="21"/>
      <c r="D41" s="24"/>
      <c r="E41" s="24"/>
      <c r="F41" s="25"/>
      <c r="G41" s="57">
        <f t="shared" si="2"/>
        <v>0</v>
      </c>
      <c r="H41" s="58">
        <f t="shared" si="3"/>
        <v>9608.7800000000007</v>
      </c>
    </row>
    <row r="42" spans="1:8" ht="22.5" customHeight="1">
      <c r="A42" s="23"/>
      <c r="B42" s="34"/>
      <c r="C42" s="21"/>
      <c r="D42" s="24"/>
      <c r="E42" s="24"/>
      <c r="F42" s="25"/>
      <c r="G42" s="57">
        <f t="shared" si="2"/>
        <v>0</v>
      </c>
      <c r="H42" s="58">
        <f t="shared" si="3"/>
        <v>9608.7800000000007</v>
      </c>
    </row>
    <row r="43" spans="1:8" ht="22.5" customHeight="1">
      <c r="A43" s="23"/>
      <c r="B43" s="34"/>
      <c r="C43" s="21"/>
      <c r="D43" s="24"/>
      <c r="E43" s="24"/>
      <c r="F43" s="25"/>
      <c r="G43" s="57">
        <f t="shared" si="2"/>
        <v>0</v>
      </c>
      <c r="H43" s="58">
        <f t="shared" si="3"/>
        <v>9608.7800000000007</v>
      </c>
    </row>
    <row r="44" spans="1:8" ht="22.5" customHeight="1">
      <c r="A44" s="23"/>
      <c r="B44" s="34"/>
      <c r="C44" s="21"/>
      <c r="D44" s="24"/>
      <c r="E44" s="24"/>
      <c r="F44" s="25"/>
      <c r="G44" s="57">
        <f t="shared" si="2"/>
        <v>0</v>
      </c>
      <c r="H44" s="58">
        <f t="shared" si="3"/>
        <v>9608.7800000000007</v>
      </c>
    </row>
    <row r="45" spans="1:8" ht="22.5" customHeight="1">
      <c r="A45" s="23"/>
      <c r="B45" s="34"/>
      <c r="C45" s="21"/>
      <c r="D45" s="24"/>
      <c r="E45" s="24"/>
      <c r="F45" s="25"/>
      <c r="G45" s="57">
        <f t="shared" si="2"/>
        <v>0</v>
      </c>
      <c r="H45" s="58">
        <f t="shared" si="3"/>
        <v>9608.7800000000007</v>
      </c>
    </row>
    <row r="46" spans="1:8" ht="22.5" customHeight="1">
      <c r="A46" s="23"/>
      <c r="B46" s="34"/>
      <c r="C46" s="21"/>
      <c r="D46" s="24"/>
      <c r="E46" s="24"/>
      <c r="F46" s="25"/>
      <c r="G46" s="57">
        <f t="shared" si="2"/>
        <v>0</v>
      </c>
      <c r="H46" s="58">
        <f t="shared" si="3"/>
        <v>9608.7800000000007</v>
      </c>
    </row>
    <row r="47" spans="1:8" ht="22.5" customHeight="1">
      <c r="A47" s="23"/>
      <c r="B47" s="34"/>
      <c r="C47" s="21"/>
      <c r="D47" s="24"/>
      <c r="E47" s="24"/>
      <c r="F47" s="25"/>
      <c r="G47" s="57">
        <f t="shared" si="2"/>
        <v>0</v>
      </c>
      <c r="H47" s="58">
        <f t="shared" si="3"/>
        <v>9608.7800000000007</v>
      </c>
    </row>
    <row r="48" spans="1:8" ht="22.5" customHeight="1">
      <c r="A48" s="23"/>
      <c r="B48" s="34"/>
      <c r="C48" s="21"/>
      <c r="D48" s="24"/>
      <c r="E48" s="24"/>
      <c r="F48" s="25"/>
      <c r="G48" s="57">
        <f t="shared" si="2"/>
        <v>0</v>
      </c>
      <c r="H48" s="58">
        <f t="shared" si="3"/>
        <v>9608.7800000000007</v>
      </c>
    </row>
    <row r="49" spans="1:8" ht="22.5" customHeight="1">
      <c r="A49" s="23"/>
      <c r="B49" s="34"/>
      <c r="C49" s="21"/>
      <c r="D49" s="24"/>
      <c r="E49" s="24"/>
      <c r="F49" s="25"/>
      <c r="G49" s="57">
        <f t="shared" si="2"/>
        <v>0</v>
      </c>
      <c r="H49" s="58">
        <f t="shared" si="3"/>
        <v>9608.7800000000007</v>
      </c>
    </row>
    <row r="50" spans="1:8" ht="22.5" customHeight="1">
      <c r="A50" s="23"/>
      <c r="B50" s="34"/>
      <c r="C50" s="21"/>
      <c r="D50" s="24"/>
      <c r="E50" s="24"/>
      <c r="F50" s="25"/>
      <c r="G50" s="57">
        <f t="shared" si="2"/>
        <v>0</v>
      </c>
      <c r="H50" s="58">
        <f t="shared" si="3"/>
        <v>9608.7800000000007</v>
      </c>
    </row>
    <row r="51" spans="1:8" ht="22.5" customHeight="1">
      <c r="A51" s="23"/>
      <c r="B51" s="34"/>
      <c r="C51" s="21"/>
      <c r="D51" s="24"/>
      <c r="E51" s="24"/>
      <c r="F51" s="25"/>
      <c r="G51" s="57">
        <f t="shared" si="2"/>
        <v>0</v>
      </c>
      <c r="H51" s="58">
        <f t="shared" si="3"/>
        <v>9608.7800000000007</v>
      </c>
    </row>
    <row r="52" spans="1:8" ht="22.5" customHeight="1">
      <c r="A52" s="23"/>
      <c r="B52" s="34"/>
      <c r="C52" s="21"/>
      <c r="D52" s="24"/>
      <c r="E52" s="24"/>
      <c r="F52" s="25"/>
      <c r="G52" s="57">
        <f t="shared" si="2"/>
        <v>0</v>
      </c>
      <c r="H52" s="58">
        <f t="shared" si="3"/>
        <v>9608.7800000000007</v>
      </c>
    </row>
    <row r="53" spans="1:8" ht="22.5" customHeight="1">
      <c r="A53" s="23"/>
      <c r="B53" s="34"/>
      <c r="C53" s="21"/>
      <c r="D53" s="24"/>
      <c r="E53" s="24"/>
      <c r="F53" s="25"/>
      <c r="G53" s="57">
        <f t="shared" si="2"/>
        <v>0</v>
      </c>
      <c r="H53" s="58">
        <f t="shared" si="3"/>
        <v>9608.7800000000007</v>
      </c>
    </row>
    <row r="54" spans="1:8" ht="22.5" customHeight="1">
      <c r="A54" s="23"/>
      <c r="B54" s="34"/>
      <c r="C54" s="21"/>
      <c r="D54" s="24"/>
      <c r="E54" s="24"/>
      <c r="F54" s="25"/>
      <c r="G54" s="57">
        <f t="shared" si="2"/>
        <v>0</v>
      </c>
      <c r="H54" s="58">
        <f t="shared" si="3"/>
        <v>9608.7800000000007</v>
      </c>
    </row>
    <row r="55" spans="1:8" ht="22.5" customHeight="1">
      <c r="A55" s="23"/>
      <c r="B55" s="34"/>
      <c r="C55" s="21"/>
      <c r="D55" s="24"/>
      <c r="E55" s="24"/>
      <c r="F55" s="25"/>
      <c r="G55" s="57">
        <f t="shared" si="2"/>
        <v>0</v>
      </c>
      <c r="H55" s="58">
        <f t="shared" si="3"/>
        <v>9608.7800000000007</v>
      </c>
    </row>
    <row r="56" spans="1:8" ht="22.5" customHeight="1">
      <c r="A56" s="23"/>
      <c r="B56" s="34"/>
      <c r="C56" s="21"/>
      <c r="D56" s="24"/>
      <c r="E56" s="24"/>
      <c r="F56" s="25"/>
      <c r="G56" s="57">
        <f t="shared" si="2"/>
        <v>0</v>
      </c>
      <c r="H56" s="58">
        <f t="shared" si="3"/>
        <v>9608.7800000000007</v>
      </c>
    </row>
    <row r="57" spans="1:8" ht="22.5" customHeight="1">
      <c r="A57" s="23"/>
      <c r="B57" s="34"/>
      <c r="C57" s="21"/>
      <c r="D57" s="24"/>
      <c r="E57" s="24"/>
      <c r="F57" s="25"/>
      <c r="G57" s="57">
        <f t="shared" si="2"/>
        <v>0</v>
      </c>
      <c r="H57" s="58">
        <f t="shared" si="3"/>
        <v>9608.7800000000007</v>
      </c>
    </row>
    <row r="58" spans="1:8" ht="22.5" customHeight="1">
      <c r="A58" s="23"/>
      <c r="B58" s="34"/>
      <c r="C58" s="21"/>
      <c r="D58" s="24"/>
      <c r="E58" s="24"/>
      <c r="F58" s="25"/>
      <c r="G58" s="57">
        <f t="shared" si="2"/>
        <v>0</v>
      </c>
      <c r="H58" s="58">
        <f t="shared" si="3"/>
        <v>9608.7800000000007</v>
      </c>
    </row>
    <row r="59" spans="1:8" ht="22.5" customHeight="1">
      <c r="A59" s="23"/>
      <c r="B59" s="34"/>
      <c r="C59" s="21"/>
      <c r="D59" s="24"/>
      <c r="E59" s="24"/>
      <c r="F59" s="25"/>
      <c r="G59" s="57">
        <f t="shared" si="2"/>
        <v>0</v>
      </c>
      <c r="H59" s="58">
        <f t="shared" si="3"/>
        <v>9608.7800000000007</v>
      </c>
    </row>
    <row r="60" spans="1:8" ht="22.5" customHeight="1">
      <c r="A60" s="23"/>
      <c r="B60" s="34"/>
      <c r="C60" s="21"/>
      <c r="D60" s="24"/>
      <c r="E60" s="24"/>
      <c r="F60" s="25"/>
      <c r="G60" s="57">
        <f t="shared" si="2"/>
        <v>0</v>
      </c>
      <c r="H60" s="58">
        <f t="shared" si="3"/>
        <v>9608.7800000000007</v>
      </c>
    </row>
    <row r="61" spans="1:8" ht="22.5" customHeight="1">
      <c r="A61" s="23"/>
      <c r="B61" s="34"/>
      <c r="C61" s="21"/>
      <c r="D61" s="24"/>
      <c r="E61" s="24"/>
      <c r="F61" s="25"/>
      <c r="G61" s="57">
        <f t="shared" si="2"/>
        <v>0</v>
      </c>
      <c r="H61" s="58">
        <f t="shared" si="3"/>
        <v>9608.7800000000007</v>
      </c>
    </row>
    <row r="62" spans="1:8" ht="22.5" customHeight="1">
      <c r="A62" s="23"/>
      <c r="B62" s="34"/>
      <c r="C62" s="21"/>
      <c r="D62" s="24"/>
      <c r="E62" s="24"/>
      <c r="F62" s="25"/>
      <c r="G62" s="57">
        <f t="shared" si="2"/>
        <v>0</v>
      </c>
      <c r="H62" s="58">
        <f t="shared" si="3"/>
        <v>9608.7800000000007</v>
      </c>
    </row>
    <row r="63" spans="1:8" ht="22.5" customHeight="1">
      <c r="A63" s="23"/>
      <c r="B63" s="34"/>
      <c r="C63" s="21"/>
      <c r="D63" s="24"/>
      <c r="E63" s="24"/>
      <c r="F63" s="25"/>
      <c r="G63" s="57">
        <f t="shared" si="2"/>
        <v>0</v>
      </c>
      <c r="H63" s="58">
        <f t="shared" si="3"/>
        <v>9608.7800000000007</v>
      </c>
    </row>
    <row r="64" spans="1:8" ht="22.5" customHeight="1">
      <c r="A64" s="23"/>
      <c r="B64" s="34"/>
      <c r="C64" s="21"/>
      <c r="D64" s="24"/>
      <c r="E64" s="24"/>
      <c r="F64" s="25"/>
      <c r="G64" s="57">
        <f t="shared" si="2"/>
        <v>0</v>
      </c>
      <c r="H64" s="58">
        <f t="shared" si="3"/>
        <v>9608.7800000000007</v>
      </c>
    </row>
    <row r="65" spans="1:8" ht="22.5" customHeight="1">
      <c r="A65" s="23"/>
      <c r="B65" s="34"/>
      <c r="C65" s="21"/>
      <c r="D65" s="24"/>
      <c r="E65" s="24"/>
      <c r="F65" s="25"/>
      <c r="G65" s="57">
        <f t="shared" si="2"/>
        <v>0</v>
      </c>
      <c r="H65" s="58">
        <f t="shared" si="3"/>
        <v>9608.7800000000007</v>
      </c>
    </row>
    <row r="66" spans="1:8" ht="22.5" customHeight="1">
      <c r="A66" s="23"/>
      <c r="B66" s="34"/>
      <c r="C66" s="21"/>
      <c r="D66" s="24"/>
      <c r="E66" s="24"/>
      <c r="F66" s="25"/>
      <c r="G66" s="57">
        <f t="shared" si="2"/>
        <v>0</v>
      </c>
      <c r="H66" s="58">
        <f t="shared" si="3"/>
        <v>9608.7800000000007</v>
      </c>
    </row>
    <row r="67" spans="1:8" ht="22.5" customHeight="1">
      <c r="A67" s="23"/>
      <c r="B67" s="34"/>
      <c r="C67" s="21"/>
      <c r="D67" s="24"/>
      <c r="E67" s="24"/>
      <c r="F67" s="25"/>
      <c r="G67" s="57">
        <f t="shared" si="2"/>
        <v>0</v>
      </c>
      <c r="H67" s="58">
        <f t="shared" si="3"/>
        <v>9608.7800000000007</v>
      </c>
    </row>
    <row r="68" spans="1:8" ht="22.5" customHeight="1">
      <c r="A68" s="23"/>
      <c r="B68" s="34"/>
      <c r="C68" s="21"/>
      <c r="D68" s="24"/>
      <c r="E68" s="24"/>
      <c r="F68" s="25"/>
      <c r="G68" s="57">
        <f t="shared" si="2"/>
        <v>0</v>
      </c>
      <c r="H68" s="58">
        <f t="shared" si="3"/>
        <v>9608.7800000000007</v>
      </c>
    </row>
    <row r="69" spans="1:8" ht="22.5" customHeight="1">
      <c r="A69" s="23"/>
      <c r="B69" s="34"/>
      <c r="C69" s="21"/>
      <c r="D69" s="24"/>
      <c r="E69" s="24"/>
      <c r="F69" s="25"/>
      <c r="G69" s="57">
        <f t="shared" si="2"/>
        <v>0</v>
      </c>
      <c r="H69" s="58">
        <f t="shared" si="3"/>
        <v>9608.7800000000007</v>
      </c>
    </row>
    <row r="70" spans="1:8" ht="22.5" customHeight="1">
      <c r="A70" s="23"/>
      <c r="B70" s="34"/>
      <c r="C70" s="21"/>
      <c r="D70" s="24"/>
      <c r="E70" s="24"/>
      <c r="F70" s="25"/>
      <c r="G70" s="57">
        <f t="shared" si="2"/>
        <v>0</v>
      </c>
      <c r="H70" s="58">
        <f t="shared" si="3"/>
        <v>9608.7800000000007</v>
      </c>
    </row>
    <row r="71" spans="1:8" ht="22.5" customHeight="1">
      <c r="A71" s="23"/>
      <c r="B71" s="34"/>
      <c r="C71" s="21"/>
      <c r="D71" s="24"/>
      <c r="E71" s="24"/>
      <c r="F71" s="25"/>
      <c r="G71" s="57">
        <f t="shared" ref="G71:G102" si="4">IF(A71="Despesas",E71*-1,IF(A71="Receitas",E71,0))</f>
        <v>0</v>
      </c>
      <c r="H71" s="58">
        <f t="shared" ref="H71:H102" si="5">H70+G71</f>
        <v>9608.7800000000007</v>
      </c>
    </row>
    <row r="72" spans="1:8" ht="22.5" customHeight="1">
      <c r="A72" s="23"/>
      <c r="B72" s="34"/>
      <c r="C72" s="21"/>
      <c r="D72" s="24"/>
      <c r="E72" s="24"/>
      <c r="F72" s="25"/>
      <c r="G72" s="57">
        <f t="shared" si="4"/>
        <v>0</v>
      </c>
      <c r="H72" s="58">
        <f t="shared" si="5"/>
        <v>9608.7800000000007</v>
      </c>
    </row>
    <row r="73" spans="1:8" ht="22.5" customHeight="1">
      <c r="A73" s="23"/>
      <c r="B73" s="34"/>
      <c r="C73" s="21"/>
      <c r="D73" s="24"/>
      <c r="E73" s="24"/>
      <c r="F73" s="25"/>
      <c r="G73" s="57">
        <f t="shared" si="4"/>
        <v>0</v>
      </c>
      <c r="H73" s="58">
        <f t="shared" si="5"/>
        <v>9608.7800000000007</v>
      </c>
    </row>
    <row r="74" spans="1:8" ht="22.5" customHeight="1">
      <c r="A74" s="23"/>
      <c r="B74" s="34"/>
      <c r="C74" s="21"/>
      <c r="D74" s="24"/>
      <c r="E74" s="24"/>
      <c r="F74" s="25"/>
      <c r="G74" s="57">
        <f t="shared" si="4"/>
        <v>0</v>
      </c>
      <c r="H74" s="58">
        <f t="shared" si="5"/>
        <v>9608.7800000000007</v>
      </c>
    </row>
    <row r="75" spans="1:8" ht="22.5" customHeight="1">
      <c r="A75" s="23"/>
      <c r="B75" s="34"/>
      <c r="C75" s="21"/>
      <c r="D75" s="24"/>
      <c r="E75" s="24"/>
      <c r="F75" s="25"/>
      <c r="G75" s="57">
        <f t="shared" si="4"/>
        <v>0</v>
      </c>
      <c r="H75" s="58">
        <f t="shared" si="5"/>
        <v>9608.7800000000007</v>
      </c>
    </row>
    <row r="76" spans="1:8" ht="22.5" customHeight="1">
      <c r="A76" s="23"/>
      <c r="B76" s="34"/>
      <c r="C76" s="21"/>
      <c r="D76" s="24"/>
      <c r="E76" s="24"/>
      <c r="F76" s="25"/>
      <c r="G76" s="57">
        <f t="shared" si="4"/>
        <v>0</v>
      </c>
      <c r="H76" s="58">
        <f t="shared" si="5"/>
        <v>9608.7800000000007</v>
      </c>
    </row>
    <row r="77" spans="1:8" ht="22.5" customHeight="1">
      <c r="A77" s="23"/>
      <c r="B77" s="34"/>
      <c r="C77" s="21"/>
      <c r="D77" s="24"/>
      <c r="E77" s="24"/>
      <c r="F77" s="25"/>
      <c r="G77" s="57">
        <f t="shared" si="4"/>
        <v>0</v>
      </c>
      <c r="H77" s="58">
        <f t="shared" si="5"/>
        <v>9608.7800000000007</v>
      </c>
    </row>
    <row r="78" spans="1:8" ht="22.5" customHeight="1">
      <c r="A78" s="23"/>
      <c r="B78" s="34"/>
      <c r="C78" s="21"/>
      <c r="D78" s="24"/>
      <c r="E78" s="24"/>
      <c r="F78" s="25"/>
      <c r="G78" s="57">
        <f t="shared" si="4"/>
        <v>0</v>
      </c>
      <c r="H78" s="58">
        <f t="shared" si="5"/>
        <v>9608.7800000000007</v>
      </c>
    </row>
    <row r="79" spans="1:8" ht="22.5" customHeight="1">
      <c r="A79" s="23"/>
      <c r="B79" s="34"/>
      <c r="C79" s="21"/>
      <c r="D79" s="24"/>
      <c r="E79" s="24"/>
      <c r="F79" s="25"/>
      <c r="G79" s="57">
        <f t="shared" si="4"/>
        <v>0</v>
      </c>
      <c r="H79" s="58">
        <f t="shared" si="5"/>
        <v>9608.7800000000007</v>
      </c>
    </row>
    <row r="80" spans="1:8" ht="22.5" customHeight="1">
      <c r="A80" s="23"/>
      <c r="B80" s="34"/>
      <c r="C80" s="21"/>
      <c r="D80" s="24"/>
      <c r="E80" s="24"/>
      <c r="F80" s="25"/>
      <c r="G80" s="57">
        <f t="shared" si="4"/>
        <v>0</v>
      </c>
      <c r="H80" s="58">
        <f t="shared" si="5"/>
        <v>9608.7800000000007</v>
      </c>
    </row>
    <row r="81" spans="1:8" ht="22.5" customHeight="1">
      <c r="A81" s="23"/>
      <c r="B81" s="34"/>
      <c r="C81" s="21"/>
      <c r="D81" s="24"/>
      <c r="E81" s="24"/>
      <c r="F81" s="25"/>
      <c r="G81" s="57">
        <f t="shared" si="4"/>
        <v>0</v>
      </c>
      <c r="H81" s="58">
        <f t="shared" si="5"/>
        <v>9608.7800000000007</v>
      </c>
    </row>
    <row r="82" spans="1:8" ht="22.5" customHeight="1">
      <c r="A82" s="23"/>
      <c r="B82" s="34"/>
      <c r="C82" s="21"/>
      <c r="D82" s="24"/>
      <c r="E82" s="24"/>
      <c r="F82" s="25"/>
      <c r="G82" s="57">
        <f t="shared" si="4"/>
        <v>0</v>
      </c>
      <c r="H82" s="58">
        <f t="shared" si="5"/>
        <v>9608.7800000000007</v>
      </c>
    </row>
    <row r="83" spans="1:8" ht="22.5" customHeight="1">
      <c r="A83" s="23"/>
      <c r="B83" s="34"/>
      <c r="C83" s="21"/>
      <c r="D83" s="24"/>
      <c r="E83" s="24"/>
      <c r="F83" s="25"/>
      <c r="G83" s="57">
        <f t="shared" si="4"/>
        <v>0</v>
      </c>
      <c r="H83" s="58">
        <f t="shared" si="5"/>
        <v>9608.7800000000007</v>
      </c>
    </row>
    <row r="84" spans="1:8" ht="22.5" customHeight="1">
      <c r="A84" s="23"/>
      <c r="B84" s="34"/>
      <c r="C84" s="21"/>
      <c r="D84" s="24"/>
      <c r="E84" s="24"/>
      <c r="F84" s="25"/>
      <c r="G84" s="57">
        <f t="shared" si="4"/>
        <v>0</v>
      </c>
      <c r="H84" s="58">
        <f t="shared" si="5"/>
        <v>9608.7800000000007</v>
      </c>
    </row>
    <row r="85" spans="1:8" ht="22.5" customHeight="1">
      <c r="A85" s="23"/>
      <c r="B85" s="34"/>
      <c r="C85" s="21"/>
      <c r="D85" s="24"/>
      <c r="E85" s="24"/>
      <c r="F85" s="25"/>
      <c r="G85" s="57">
        <f t="shared" si="4"/>
        <v>0</v>
      </c>
      <c r="H85" s="58">
        <f t="shared" si="5"/>
        <v>9608.7800000000007</v>
      </c>
    </row>
    <row r="86" spans="1:8" ht="22.5" customHeight="1">
      <c r="A86" s="23"/>
      <c r="B86" s="34"/>
      <c r="C86" s="21"/>
      <c r="D86" s="24"/>
      <c r="E86" s="24"/>
      <c r="F86" s="25"/>
      <c r="G86" s="57">
        <f t="shared" si="4"/>
        <v>0</v>
      </c>
      <c r="H86" s="58">
        <f t="shared" si="5"/>
        <v>9608.7800000000007</v>
      </c>
    </row>
    <row r="87" spans="1:8" ht="22.5" customHeight="1">
      <c r="A87" s="23"/>
      <c r="B87" s="34"/>
      <c r="C87" s="21"/>
      <c r="D87" s="24"/>
      <c r="E87" s="24"/>
      <c r="F87" s="25"/>
      <c r="G87" s="57">
        <f t="shared" si="4"/>
        <v>0</v>
      </c>
      <c r="H87" s="58">
        <f t="shared" si="5"/>
        <v>9608.7800000000007</v>
      </c>
    </row>
    <row r="88" spans="1:8" ht="22.5" customHeight="1">
      <c r="A88" s="23"/>
      <c r="B88" s="34"/>
      <c r="C88" s="21"/>
      <c r="D88" s="24"/>
      <c r="E88" s="24"/>
      <c r="F88" s="25"/>
      <c r="G88" s="57">
        <f t="shared" si="4"/>
        <v>0</v>
      </c>
      <c r="H88" s="58">
        <f t="shared" si="5"/>
        <v>9608.7800000000007</v>
      </c>
    </row>
    <row r="89" spans="1:8" ht="22.5" customHeight="1">
      <c r="A89" s="23"/>
      <c r="B89" s="34"/>
      <c r="C89" s="21"/>
      <c r="D89" s="24"/>
      <c r="E89" s="24"/>
      <c r="F89" s="25"/>
      <c r="G89" s="57">
        <f t="shared" si="4"/>
        <v>0</v>
      </c>
      <c r="H89" s="58">
        <f t="shared" si="5"/>
        <v>9608.7800000000007</v>
      </c>
    </row>
    <row r="90" spans="1:8" ht="22.5" customHeight="1">
      <c r="A90" s="23"/>
      <c r="B90" s="34"/>
      <c r="C90" s="21"/>
      <c r="D90" s="24"/>
      <c r="E90" s="24"/>
      <c r="F90" s="25"/>
      <c r="G90" s="57">
        <f t="shared" si="4"/>
        <v>0</v>
      </c>
      <c r="H90" s="58">
        <f t="shared" si="5"/>
        <v>9608.7800000000007</v>
      </c>
    </row>
    <row r="91" spans="1:8" ht="22.5" customHeight="1">
      <c r="A91" s="23"/>
      <c r="B91" s="34"/>
      <c r="C91" s="21"/>
      <c r="D91" s="24"/>
      <c r="E91" s="24"/>
      <c r="F91" s="25"/>
      <c r="G91" s="57">
        <f t="shared" si="4"/>
        <v>0</v>
      </c>
      <c r="H91" s="58">
        <f t="shared" si="5"/>
        <v>9608.7800000000007</v>
      </c>
    </row>
    <row r="92" spans="1:8" ht="22.5" customHeight="1">
      <c r="A92" s="23"/>
      <c r="B92" s="34"/>
      <c r="C92" s="21"/>
      <c r="D92" s="24"/>
      <c r="E92" s="24"/>
      <c r="F92" s="25"/>
      <c r="G92" s="57">
        <f t="shared" si="4"/>
        <v>0</v>
      </c>
      <c r="H92" s="58">
        <f t="shared" si="5"/>
        <v>9608.7800000000007</v>
      </c>
    </row>
    <row r="93" spans="1:8" ht="22.5" customHeight="1">
      <c r="A93" s="23"/>
      <c r="B93" s="34"/>
      <c r="C93" s="21"/>
      <c r="D93" s="24"/>
      <c r="E93" s="24"/>
      <c r="F93" s="25"/>
      <c r="G93" s="57">
        <f t="shared" si="4"/>
        <v>0</v>
      </c>
      <c r="H93" s="58">
        <f t="shared" si="5"/>
        <v>9608.7800000000007</v>
      </c>
    </row>
    <row r="94" spans="1:8" ht="22.5" customHeight="1">
      <c r="A94" s="23"/>
      <c r="B94" s="34"/>
      <c r="C94" s="21"/>
      <c r="D94" s="24"/>
      <c r="E94" s="24"/>
      <c r="F94" s="25"/>
      <c r="G94" s="57">
        <f t="shared" si="4"/>
        <v>0</v>
      </c>
      <c r="H94" s="58">
        <f t="shared" si="5"/>
        <v>9608.7800000000007</v>
      </c>
    </row>
    <row r="95" spans="1:8" ht="22.5" customHeight="1">
      <c r="A95" s="23"/>
      <c r="B95" s="34"/>
      <c r="C95" s="21"/>
      <c r="D95" s="24"/>
      <c r="E95" s="24"/>
      <c r="F95" s="25"/>
      <c r="G95" s="57">
        <f t="shared" si="4"/>
        <v>0</v>
      </c>
      <c r="H95" s="58">
        <f t="shared" si="5"/>
        <v>9608.7800000000007</v>
      </c>
    </row>
    <row r="96" spans="1:8" ht="22.5" customHeight="1">
      <c r="A96" s="23"/>
      <c r="B96" s="34"/>
      <c r="C96" s="21"/>
      <c r="D96" s="24"/>
      <c r="E96" s="24"/>
      <c r="F96" s="25"/>
      <c r="G96" s="57">
        <f t="shared" si="4"/>
        <v>0</v>
      </c>
      <c r="H96" s="58">
        <f t="shared" si="5"/>
        <v>9608.7800000000007</v>
      </c>
    </row>
    <row r="97" spans="1:8" ht="22.5" customHeight="1">
      <c r="A97" s="23"/>
      <c r="B97" s="34"/>
      <c r="C97" s="21"/>
      <c r="D97" s="24"/>
      <c r="E97" s="24"/>
      <c r="F97" s="25"/>
      <c r="G97" s="57">
        <f t="shared" si="4"/>
        <v>0</v>
      </c>
      <c r="H97" s="58">
        <f t="shared" si="5"/>
        <v>9608.7800000000007</v>
      </c>
    </row>
    <row r="98" spans="1:8" ht="22.5" customHeight="1">
      <c r="A98" s="23"/>
      <c r="B98" s="34"/>
      <c r="C98" s="21"/>
      <c r="D98" s="24"/>
      <c r="E98" s="24"/>
      <c r="F98" s="25"/>
      <c r="G98" s="57">
        <f t="shared" si="4"/>
        <v>0</v>
      </c>
      <c r="H98" s="58">
        <f t="shared" si="5"/>
        <v>9608.7800000000007</v>
      </c>
    </row>
    <row r="99" spans="1:8" ht="22.5" customHeight="1">
      <c r="A99" s="23"/>
      <c r="B99" s="34"/>
      <c r="C99" s="21"/>
      <c r="D99" s="24"/>
      <c r="E99" s="24"/>
      <c r="F99" s="25"/>
      <c r="G99" s="57">
        <f t="shared" si="4"/>
        <v>0</v>
      </c>
      <c r="H99" s="58">
        <f t="shared" si="5"/>
        <v>9608.7800000000007</v>
      </c>
    </row>
    <row r="100" spans="1:8" ht="22.5" customHeight="1">
      <c r="A100" s="23"/>
      <c r="B100" s="34"/>
      <c r="C100" s="21"/>
      <c r="D100" s="24"/>
      <c r="E100" s="24"/>
      <c r="F100" s="25"/>
      <c r="G100" s="57">
        <f t="shared" si="4"/>
        <v>0</v>
      </c>
      <c r="H100" s="58">
        <f t="shared" si="5"/>
        <v>9608.7800000000007</v>
      </c>
    </row>
    <row r="101" spans="1:8" ht="22.5" customHeight="1">
      <c r="A101" s="23"/>
      <c r="B101" s="34"/>
      <c r="C101" s="21"/>
      <c r="D101" s="24"/>
      <c r="E101" s="24"/>
      <c r="F101" s="25"/>
      <c r="G101" s="57">
        <f t="shared" si="4"/>
        <v>0</v>
      </c>
      <c r="H101" s="58">
        <f t="shared" si="5"/>
        <v>9608.7800000000007</v>
      </c>
    </row>
    <row r="102" spans="1:8" ht="22.5" customHeight="1">
      <c r="A102" s="23"/>
      <c r="B102" s="34"/>
      <c r="C102" s="21"/>
      <c r="D102" s="24"/>
      <c r="E102" s="24"/>
      <c r="F102" s="25"/>
      <c r="G102" s="57">
        <f t="shared" si="4"/>
        <v>0</v>
      </c>
      <c r="H102" s="58">
        <f t="shared" si="5"/>
        <v>9608.7800000000007</v>
      </c>
    </row>
    <row r="103" spans="1:8" ht="22.5" customHeight="1">
      <c r="A103" s="23"/>
      <c r="B103" s="34"/>
      <c r="C103" s="21"/>
      <c r="D103" s="24"/>
      <c r="E103" s="24"/>
      <c r="F103" s="25"/>
      <c r="G103" s="57">
        <f t="shared" ref="G103:G134" si="6">IF(A103="Despesas",E103*-1,IF(A103="Receitas",E103,0))</f>
        <v>0</v>
      </c>
      <c r="H103" s="58">
        <f t="shared" ref="H103:H134" si="7">H102+G103</f>
        <v>9608.7800000000007</v>
      </c>
    </row>
    <row r="104" spans="1:8" ht="22.5" customHeight="1">
      <c r="A104" s="23"/>
      <c r="B104" s="34"/>
      <c r="C104" s="21"/>
      <c r="D104" s="24"/>
      <c r="E104" s="24"/>
      <c r="F104" s="25"/>
      <c r="G104" s="57">
        <f t="shared" si="6"/>
        <v>0</v>
      </c>
      <c r="H104" s="58">
        <f t="shared" si="7"/>
        <v>9608.7800000000007</v>
      </c>
    </row>
    <row r="105" spans="1:8" ht="22.5" customHeight="1">
      <c r="A105" s="23"/>
      <c r="B105" s="34"/>
      <c r="C105" s="21"/>
      <c r="D105" s="24"/>
      <c r="E105" s="24"/>
      <c r="F105" s="25"/>
      <c r="G105" s="57">
        <f t="shared" si="6"/>
        <v>0</v>
      </c>
      <c r="H105" s="58">
        <f t="shared" si="7"/>
        <v>9608.7800000000007</v>
      </c>
    </row>
    <row r="106" spans="1:8" ht="22.5" customHeight="1">
      <c r="A106" s="23"/>
      <c r="B106" s="34"/>
      <c r="C106" s="21"/>
      <c r="D106" s="24"/>
      <c r="E106" s="24"/>
      <c r="F106" s="25"/>
      <c r="G106" s="57">
        <f t="shared" si="6"/>
        <v>0</v>
      </c>
      <c r="H106" s="58">
        <f t="shared" si="7"/>
        <v>9608.7800000000007</v>
      </c>
    </row>
    <row r="107" spans="1:8" ht="22.5" customHeight="1">
      <c r="A107" s="23"/>
      <c r="B107" s="34"/>
      <c r="C107" s="21"/>
      <c r="D107" s="24"/>
      <c r="E107" s="24"/>
      <c r="F107" s="25"/>
      <c r="G107" s="57">
        <f t="shared" si="6"/>
        <v>0</v>
      </c>
      <c r="H107" s="58">
        <f t="shared" si="7"/>
        <v>9608.7800000000007</v>
      </c>
    </row>
    <row r="108" spans="1:8" ht="22.5" customHeight="1">
      <c r="A108" s="23"/>
      <c r="B108" s="34"/>
      <c r="C108" s="21"/>
      <c r="D108" s="24"/>
      <c r="E108" s="24"/>
      <c r="F108" s="25"/>
      <c r="G108" s="57">
        <f t="shared" si="6"/>
        <v>0</v>
      </c>
      <c r="H108" s="58">
        <f t="shared" si="7"/>
        <v>9608.7800000000007</v>
      </c>
    </row>
    <row r="109" spans="1:8" ht="22.5" customHeight="1">
      <c r="A109" s="23"/>
      <c r="B109" s="34"/>
      <c r="C109" s="21"/>
      <c r="D109" s="24"/>
      <c r="E109" s="24"/>
      <c r="F109" s="25"/>
      <c r="G109" s="57">
        <f t="shared" si="6"/>
        <v>0</v>
      </c>
      <c r="H109" s="58">
        <f t="shared" si="7"/>
        <v>9608.7800000000007</v>
      </c>
    </row>
    <row r="110" spans="1:8" ht="22.5" customHeight="1">
      <c r="A110" s="23"/>
      <c r="B110" s="34"/>
      <c r="C110" s="21"/>
      <c r="D110" s="24"/>
      <c r="E110" s="24"/>
      <c r="F110" s="25"/>
      <c r="G110" s="57">
        <f t="shared" si="6"/>
        <v>0</v>
      </c>
      <c r="H110" s="58">
        <f t="shared" si="7"/>
        <v>9608.7800000000007</v>
      </c>
    </row>
    <row r="111" spans="1:8" ht="22.5" customHeight="1">
      <c r="A111" s="23"/>
      <c r="B111" s="34"/>
      <c r="C111" s="21"/>
      <c r="D111" s="24"/>
      <c r="E111" s="24"/>
      <c r="F111" s="25"/>
      <c r="G111" s="57">
        <f t="shared" si="6"/>
        <v>0</v>
      </c>
      <c r="H111" s="58">
        <f t="shared" si="7"/>
        <v>9608.7800000000007</v>
      </c>
    </row>
    <row r="112" spans="1:8" ht="22.5" customHeight="1">
      <c r="A112" s="23"/>
      <c r="B112" s="34"/>
      <c r="C112" s="21"/>
      <c r="D112" s="24"/>
      <c r="E112" s="24"/>
      <c r="F112" s="25"/>
      <c r="G112" s="57">
        <f t="shared" si="6"/>
        <v>0</v>
      </c>
      <c r="H112" s="58">
        <f t="shared" si="7"/>
        <v>9608.7800000000007</v>
      </c>
    </row>
    <row r="113" spans="1:8" ht="22.5" customHeight="1">
      <c r="A113" s="23"/>
      <c r="B113" s="34"/>
      <c r="C113" s="21"/>
      <c r="D113" s="24"/>
      <c r="E113" s="24"/>
      <c r="F113" s="25"/>
      <c r="G113" s="57">
        <f t="shared" si="6"/>
        <v>0</v>
      </c>
      <c r="H113" s="58">
        <f t="shared" si="7"/>
        <v>9608.7800000000007</v>
      </c>
    </row>
    <row r="114" spans="1:8" ht="22.5" customHeight="1">
      <c r="A114" s="23"/>
      <c r="B114" s="34"/>
      <c r="C114" s="21"/>
      <c r="D114" s="24"/>
      <c r="E114" s="24"/>
      <c r="F114" s="25"/>
      <c r="G114" s="57">
        <f t="shared" si="6"/>
        <v>0</v>
      </c>
      <c r="H114" s="58">
        <f t="shared" si="7"/>
        <v>9608.7800000000007</v>
      </c>
    </row>
    <row r="115" spans="1:8" ht="22.5" customHeight="1">
      <c r="A115" s="23"/>
      <c r="B115" s="34"/>
      <c r="C115" s="21"/>
      <c r="D115" s="24"/>
      <c r="E115" s="24"/>
      <c r="F115" s="25"/>
      <c r="G115" s="57">
        <f t="shared" si="6"/>
        <v>0</v>
      </c>
      <c r="H115" s="58">
        <f t="shared" si="7"/>
        <v>9608.7800000000007</v>
      </c>
    </row>
    <row r="116" spans="1:8" ht="22.5" customHeight="1">
      <c r="A116" s="23"/>
      <c r="B116" s="34"/>
      <c r="C116" s="21"/>
      <c r="D116" s="24"/>
      <c r="E116" s="24"/>
      <c r="F116" s="25"/>
      <c r="G116" s="57">
        <f t="shared" si="6"/>
        <v>0</v>
      </c>
      <c r="H116" s="58">
        <f t="shared" si="7"/>
        <v>9608.7800000000007</v>
      </c>
    </row>
    <row r="117" spans="1:8" ht="22.5" customHeight="1">
      <c r="A117" s="23"/>
      <c r="B117" s="34"/>
      <c r="C117" s="21"/>
      <c r="D117" s="24"/>
      <c r="E117" s="24"/>
      <c r="F117" s="25"/>
      <c r="G117" s="57">
        <f t="shared" si="6"/>
        <v>0</v>
      </c>
      <c r="H117" s="58">
        <f t="shared" si="7"/>
        <v>9608.7800000000007</v>
      </c>
    </row>
    <row r="118" spans="1:8" ht="22.5" customHeight="1">
      <c r="A118" s="23"/>
      <c r="B118" s="34"/>
      <c r="C118" s="21"/>
      <c r="D118" s="24"/>
      <c r="E118" s="24"/>
      <c r="F118" s="25"/>
      <c r="G118" s="57">
        <f t="shared" si="6"/>
        <v>0</v>
      </c>
      <c r="H118" s="58">
        <f t="shared" si="7"/>
        <v>9608.7800000000007</v>
      </c>
    </row>
    <row r="119" spans="1:8" ht="22.5" customHeight="1">
      <c r="A119" s="23"/>
      <c r="B119" s="34"/>
      <c r="C119" s="21"/>
      <c r="D119" s="24"/>
      <c r="E119" s="24"/>
      <c r="F119" s="25"/>
      <c r="G119" s="57">
        <f t="shared" si="6"/>
        <v>0</v>
      </c>
      <c r="H119" s="58">
        <f t="shared" si="7"/>
        <v>9608.7800000000007</v>
      </c>
    </row>
    <row r="120" spans="1:8" ht="22.5" customHeight="1">
      <c r="A120" s="23"/>
      <c r="B120" s="34"/>
      <c r="C120" s="21"/>
      <c r="D120" s="24"/>
      <c r="E120" s="24"/>
      <c r="F120" s="25"/>
      <c r="G120" s="57">
        <f t="shared" si="6"/>
        <v>0</v>
      </c>
      <c r="H120" s="58">
        <f t="shared" si="7"/>
        <v>9608.7800000000007</v>
      </c>
    </row>
    <row r="121" spans="1:8" ht="22.5" customHeight="1">
      <c r="A121" s="23"/>
      <c r="B121" s="34"/>
      <c r="C121" s="21"/>
      <c r="D121" s="24"/>
      <c r="E121" s="24"/>
      <c r="F121" s="25"/>
      <c r="G121" s="57">
        <f t="shared" si="6"/>
        <v>0</v>
      </c>
      <c r="H121" s="58">
        <f t="shared" si="7"/>
        <v>9608.7800000000007</v>
      </c>
    </row>
    <row r="122" spans="1:8" ht="22.5" customHeight="1">
      <c r="A122" s="23"/>
      <c r="B122" s="34"/>
      <c r="C122" s="21"/>
      <c r="D122" s="24"/>
      <c r="E122" s="24"/>
      <c r="F122" s="25"/>
      <c r="G122" s="57">
        <f t="shared" si="6"/>
        <v>0</v>
      </c>
      <c r="H122" s="58">
        <f t="shared" si="7"/>
        <v>9608.7800000000007</v>
      </c>
    </row>
    <row r="123" spans="1:8" ht="22.5" customHeight="1">
      <c r="A123" s="23"/>
      <c r="B123" s="34"/>
      <c r="C123" s="21"/>
      <c r="D123" s="24"/>
      <c r="E123" s="24"/>
      <c r="F123" s="25"/>
      <c r="G123" s="57">
        <f t="shared" si="6"/>
        <v>0</v>
      </c>
      <c r="H123" s="58">
        <f t="shared" si="7"/>
        <v>9608.7800000000007</v>
      </c>
    </row>
    <row r="124" spans="1:8" ht="22.5" customHeight="1">
      <c r="A124" s="23"/>
      <c r="B124" s="34"/>
      <c r="C124" s="21"/>
      <c r="D124" s="24"/>
      <c r="E124" s="24"/>
      <c r="F124" s="25"/>
      <c r="G124" s="57">
        <f t="shared" si="6"/>
        <v>0</v>
      </c>
      <c r="H124" s="58">
        <f t="shared" si="7"/>
        <v>9608.7800000000007</v>
      </c>
    </row>
    <row r="125" spans="1:8" ht="22.5" customHeight="1">
      <c r="A125" s="23"/>
      <c r="B125" s="34"/>
      <c r="C125" s="21"/>
      <c r="D125" s="24"/>
      <c r="E125" s="24"/>
      <c r="F125" s="25"/>
      <c r="G125" s="57">
        <f t="shared" si="6"/>
        <v>0</v>
      </c>
      <c r="H125" s="58">
        <f t="shared" si="7"/>
        <v>9608.7800000000007</v>
      </c>
    </row>
    <row r="126" spans="1:8" ht="22.5" customHeight="1">
      <c r="A126" s="23"/>
      <c r="B126" s="34"/>
      <c r="C126" s="21"/>
      <c r="D126" s="24"/>
      <c r="E126" s="24"/>
      <c r="F126" s="25"/>
      <c r="G126" s="57">
        <f t="shared" si="6"/>
        <v>0</v>
      </c>
      <c r="H126" s="58">
        <f t="shared" si="7"/>
        <v>9608.7800000000007</v>
      </c>
    </row>
    <row r="127" spans="1:8" ht="22.5" customHeight="1">
      <c r="A127" s="23"/>
      <c r="B127" s="34"/>
      <c r="C127" s="21"/>
      <c r="D127" s="24"/>
      <c r="E127" s="24"/>
      <c r="F127" s="25"/>
      <c r="G127" s="57">
        <f t="shared" si="6"/>
        <v>0</v>
      </c>
      <c r="H127" s="58">
        <f t="shared" si="7"/>
        <v>9608.7800000000007</v>
      </c>
    </row>
    <row r="128" spans="1:8" ht="22.5" customHeight="1">
      <c r="A128" s="23"/>
      <c r="B128" s="34"/>
      <c r="C128" s="21"/>
      <c r="D128" s="24"/>
      <c r="E128" s="24"/>
      <c r="F128" s="25"/>
      <c r="G128" s="57">
        <f t="shared" si="6"/>
        <v>0</v>
      </c>
      <c r="H128" s="58">
        <f t="shared" si="7"/>
        <v>9608.7800000000007</v>
      </c>
    </row>
    <row r="129" spans="1:8" ht="22.5" customHeight="1">
      <c r="A129" s="23"/>
      <c r="B129" s="34"/>
      <c r="C129" s="21"/>
      <c r="D129" s="24"/>
      <c r="E129" s="24"/>
      <c r="F129" s="25"/>
      <c r="G129" s="57">
        <f t="shared" si="6"/>
        <v>0</v>
      </c>
      <c r="H129" s="58">
        <f t="shared" si="7"/>
        <v>9608.7800000000007</v>
      </c>
    </row>
    <row r="130" spans="1:8" ht="22.5" customHeight="1">
      <c r="A130" s="23"/>
      <c r="B130" s="34"/>
      <c r="C130" s="21"/>
      <c r="D130" s="24"/>
      <c r="E130" s="24"/>
      <c r="F130" s="25"/>
      <c r="G130" s="57">
        <f t="shared" si="6"/>
        <v>0</v>
      </c>
      <c r="H130" s="58">
        <f t="shared" si="7"/>
        <v>9608.7800000000007</v>
      </c>
    </row>
    <row r="131" spans="1:8" ht="22.5" customHeight="1">
      <c r="A131" s="23"/>
      <c r="B131" s="34"/>
      <c r="C131" s="21"/>
      <c r="D131" s="24"/>
      <c r="E131" s="24"/>
      <c r="F131" s="25"/>
      <c r="G131" s="57">
        <f t="shared" si="6"/>
        <v>0</v>
      </c>
      <c r="H131" s="58">
        <f t="shared" si="7"/>
        <v>9608.7800000000007</v>
      </c>
    </row>
    <row r="132" spans="1:8" ht="22.5" customHeight="1">
      <c r="A132" s="23"/>
      <c r="B132" s="34"/>
      <c r="C132" s="21"/>
      <c r="D132" s="24"/>
      <c r="E132" s="24"/>
      <c r="F132" s="25"/>
      <c r="G132" s="57">
        <f t="shared" si="6"/>
        <v>0</v>
      </c>
      <c r="H132" s="58">
        <f t="shared" si="7"/>
        <v>9608.7800000000007</v>
      </c>
    </row>
    <row r="133" spans="1:8" ht="22.5" customHeight="1">
      <c r="A133" s="23"/>
      <c r="B133" s="34"/>
      <c r="C133" s="21"/>
      <c r="D133" s="24"/>
      <c r="E133" s="24"/>
      <c r="F133" s="25"/>
      <c r="G133" s="57">
        <f t="shared" si="6"/>
        <v>0</v>
      </c>
      <c r="H133" s="58">
        <f t="shared" si="7"/>
        <v>9608.7800000000007</v>
      </c>
    </row>
    <row r="134" spans="1:8" ht="22.5" customHeight="1">
      <c r="A134" s="23"/>
      <c r="B134" s="34"/>
      <c r="C134" s="21"/>
      <c r="D134" s="24"/>
      <c r="E134" s="24"/>
      <c r="F134" s="25"/>
      <c r="G134" s="57">
        <f t="shared" si="6"/>
        <v>0</v>
      </c>
      <c r="H134" s="58">
        <f t="shared" si="7"/>
        <v>9608.7800000000007</v>
      </c>
    </row>
    <row r="135" spans="1:8" ht="22.5" customHeight="1">
      <c r="A135" s="23"/>
      <c r="B135" s="34"/>
      <c r="C135" s="21"/>
      <c r="D135" s="24"/>
      <c r="E135" s="24"/>
      <c r="F135" s="25"/>
      <c r="G135" s="57">
        <f t="shared" ref="G135:G166" si="8">IF(A135="Despesas",E135*-1,IF(A135="Receitas",E135,0))</f>
        <v>0</v>
      </c>
      <c r="H135" s="58">
        <f t="shared" ref="H135:H166" si="9">H134+G135</f>
        <v>9608.7800000000007</v>
      </c>
    </row>
    <row r="136" spans="1:8" ht="22.5" customHeight="1">
      <c r="A136" s="23"/>
      <c r="B136" s="34"/>
      <c r="C136" s="21"/>
      <c r="D136" s="24"/>
      <c r="E136" s="24"/>
      <c r="F136" s="25"/>
      <c r="G136" s="57">
        <f t="shared" si="8"/>
        <v>0</v>
      </c>
      <c r="H136" s="58">
        <f t="shared" si="9"/>
        <v>9608.7800000000007</v>
      </c>
    </row>
    <row r="137" spans="1:8" ht="22.5" customHeight="1">
      <c r="A137" s="23"/>
      <c r="B137" s="34"/>
      <c r="C137" s="21"/>
      <c r="D137" s="24"/>
      <c r="E137" s="24"/>
      <c r="F137" s="25"/>
      <c r="G137" s="57">
        <f t="shared" si="8"/>
        <v>0</v>
      </c>
      <c r="H137" s="58">
        <f t="shared" si="9"/>
        <v>9608.7800000000007</v>
      </c>
    </row>
    <row r="138" spans="1:8" ht="22.5" customHeight="1">
      <c r="A138" s="23"/>
      <c r="B138" s="34"/>
      <c r="C138" s="21"/>
      <c r="D138" s="24"/>
      <c r="E138" s="24"/>
      <c r="F138" s="25"/>
      <c r="G138" s="57">
        <f t="shared" si="8"/>
        <v>0</v>
      </c>
      <c r="H138" s="58">
        <f t="shared" si="9"/>
        <v>9608.7800000000007</v>
      </c>
    </row>
    <row r="139" spans="1:8" ht="22.5" customHeight="1">
      <c r="A139" s="23"/>
      <c r="B139" s="34"/>
      <c r="C139" s="21"/>
      <c r="D139" s="24"/>
      <c r="E139" s="24"/>
      <c r="F139" s="25"/>
      <c r="G139" s="57">
        <f t="shared" si="8"/>
        <v>0</v>
      </c>
      <c r="H139" s="58">
        <f t="shared" si="9"/>
        <v>9608.7800000000007</v>
      </c>
    </row>
    <row r="140" spans="1:8" ht="22.5" customHeight="1">
      <c r="A140" s="23"/>
      <c r="B140" s="34"/>
      <c r="C140" s="21"/>
      <c r="D140" s="24"/>
      <c r="E140" s="24"/>
      <c r="F140" s="25"/>
      <c r="G140" s="57">
        <f t="shared" si="8"/>
        <v>0</v>
      </c>
      <c r="H140" s="58">
        <f t="shared" si="9"/>
        <v>9608.7800000000007</v>
      </c>
    </row>
    <row r="141" spans="1:8" ht="22.5" customHeight="1">
      <c r="A141" s="23"/>
      <c r="B141" s="34"/>
      <c r="C141" s="21"/>
      <c r="D141" s="24"/>
      <c r="E141" s="24"/>
      <c r="F141" s="25"/>
      <c r="G141" s="57">
        <f t="shared" si="8"/>
        <v>0</v>
      </c>
      <c r="H141" s="58">
        <f t="shared" si="9"/>
        <v>9608.7800000000007</v>
      </c>
    </row>
    <row r="142" spans="1:8" ht="22.5" customHeight="1">
      <c r="A142" s="23"/>
      <c r="B142" s="34"/>
      <c r="C142" s="21"/>
      <c r="D142" s="24"/>
      <c r="E142" s="24"/>
      <c r="F142" s="25"/>
      <c r="G142" s="57">
        <f t="shared" si="8"/>
        <v>0</v>
      </c>
      <c r="H142" s="58">
        <f t="shared" si="9"/>
        <v>9608.7800000000007</v>
      </c>
    </row>
    <row r="143" spans="1:8" ht="22.5" customHeight="1">
      <c r="A143" s="23"/>
      <c r="B143" s="34"/>
      <c r="C143" s="21"/>
      <c r="D143" s="24"/>
      <c r="E143" s="24"/>
      <c r="F143" s="25"/>
      <c r="G143" s="57">
        <f t="shared" si="8"/>
        <v>0</v>
      </c>
      <c r="H143" s="58">
        <f t="shared" ref="H143:H206" si="10">H142+G143</f>
        <v>9608.7800000000007</v>
      </c>
    </row>
    <row r="144" spans="1:8" ht="22.5" customHeight="1">
      <c r="A144" s="23"/>
      <c r="B144" s="34"/>
      <c r="C144" s="21"/>
      <c r="D144" s="24"/>
      <c r="E144" s="24"/>
      <c r="F144" s="25"/>
      <c r="G144" s="57">
        <f t="shared" si="8"/>
        <v>0</v>
      </c>
      <c r="H144" s="58">
        <f t="shared" si="10"/>
        <v>9608.7800000000007</v>
      </c>
    </row>
    <row r="145" spans="1:8" ht="22.5" customHeight="1">
      <c r="A145" s="23"/>
      <c r="B145" s="34"/>
      <c r="C145" s="21"/>
      <c r="D145" s="24"/>
      <c r="E145" s="24"/>
      <c r="F145" s="25"/>
      <c r="G145" s="57">
        <f t="shared" si="8"/>
        <v>0</v>
      </c>
      <c r="H145" s="58">
        <f t="shared" si="10"/>
        <v>9608.7800000000007</v>
      </c>
    </row>
    <row r="146" spans="1:8" ht="22.5" customHeight="1">
      <c r="A146" s="23"/>
      <c r="B146" s="34"/>
      <c r="C146" s="21"/>
      <c r="D146" s="24"/>
      <c r="E146" s="24"/>
      <c r="F146" s="25"/>
      <c r="G146" s="57">
        <f t="shared" si="8"/>
        <v>0</v>
      </c>
      <c r="H146" s="58">
        <f t="shared" si="10"/>
        <v>9608.7800000000007</v>
      </c>
    </row>
    <row r="147" spans="1:8" ht="22.5" customHeight="1">
      <c r="A147" s="23"/>
      <c r="B147" s="34"/>
      <c r="C147" s="21"/>
      <c r="D147" s="24"/>
      <c r="E147" s="24"/>
      <c r="F147" s="25"/>
      <c r="G147" s="57">
        <f t="shared" si="8"/>
        <v>0</v>
      </c>
      <c r="H147" s="58">
        <f t="shared" si="10"/>
        <v>9608.7800000000007</v>
      </c>
    </row>
    <row r="148" spans="1:8" ht="22.5" customHeight="1">
      <c r="A148" s="23"/>
      <c r="B148" s="34"/>
      <c r="C148" s="21"/>
      <c r="D148" s="24"/>
      <c r="E148" s="24"/>
      <c r="F148" s="25"/>
      <c r="G148" s="57">
        <f t="shared" si="8"/>
        <v>0</v>
      </c>
      <c r="H148" s="58">
        <f t="shared" si="10"/>
        <v>9608.7800000000007</v>
      </c>
    </row>
    <row r="149" spans="1:8" ht="22.5" customHeight="1">
      <c r="A149" s="23"/>
      <c r="B149" s="34"/>
      <c r="C149" s="21"/>
      <c r="D149" s="24"/>
      <c r="E149" s="24"/>
      <c r="F149" s="25"/>
      <c r="G149" s="57">
        <f t="shared" si="8"/>
        <v>0</v>
      </c>
      <c r="H149" s="58">
        <f t="shared" si="10"/>
        <v>9608.7800000000007</v>
      </c>
    </row>
    <row r="150" spans="1:8" ht="22.5" customHeight="1">
      <c r="A150" s="23"/>
      <c r="B150" s="34"/>
      <c r="C150" s="21"/>
      <c r="D150" s="24"/>
      <c r="E150" s="24"/>
      <c r="F150" s="25"/>
      <c r="G150" s="57">
        <f t="shared" si="8"/>
        <v>0</v>
      </c>
      <c r="H150" s="58">
        <f t="shared" si="10"/>
        <v>9608.7800000000007</v>
      </c>
    </row>
    <row r="151" spans="1:8" ht="22.5" customHeight="1">
      <c r="A151" s="23"/>
      <c r="B151" s="34"/>
      <c r="C151" s="21"/>
      <c r="D151" s="24"/>
      <c r="E151" s="24"/>
      <c r="F151" s="25"/>
      <c r="G151" s="57">
        <f t="shared" si="8"/>
        <v>0</v>
      </c>
      <c r="H151" s="58">
        <f t="shared" si="10"/>
        <v>9608.7800000000007</v>
      </c>
    </row>
    <row r="152" spans="1:8" ht="22.5" customHeight="1">
      <c r="A152" s="23"/>
      <c r="B152" s="34"/>
      <c r="C152" s="21"/>
      <c r="D152" s="24"/>
      <c r="E152" s="24"/>
      <c r="F152" s="25"/>
      <c r="G152" s="57">
        <f t="shared" si="8"/>
        <v>0</v>
      </c>
      <c r="H152" s="58">
        <f t="shared" si="10"/>
        <v>9608.7800000000007</v>
      </c>
    </row>
    <row r="153" spans="1:8" ht="22.5" customHeight="1">
      <c r="A153" s="23"/>
      <c r="B153" s="34"/>
      <c r="C153" s="21"/>
      <c r="D153" s="24"/>
      <c r="E153" s="24"/>
      <c r="F153" s="25"/>
      <c r="G153" s="57">
        <f t="shared" si="8"/>
        <v>0</v>
      </c>
      <c r="H153" s="58">
        <f t="shared" si="10"/>
        <v>9608.7800000000007</v>
      </c>
    </row>
    <row r="154" spans="1:8" ht="22.5" customHeight="1">
      <c r="A154" s="23"/>
      <c r="B154" s="34"/>
      <c r="C154" s="21"/>
      <c r="D154" s="24"/>
      <c r="E154" s="24"/>
      <c r="F154" s="25"/>
      <c r="G154" s="57">
        <f t="shared" si="8"/>
        <v>0</v>
      </c>
      <c r="H154" s="58">
        <f t="shared" si="10"/>
        <v>9608.7800000000007</v>
      </c>
    </row>
    <row r="155" spans="1:8" ht="22.5" customHeight="1">
      <c r="A155" s="23"/>
      <c r="B155" s="34"/>
      <c r="C155" s="21"/>
      <c r="D155" s="24"/>
      <c r="E155" s="24"/>
      <c r="F155" s="25"/>
      <c r="G155" s="57">
        <f t="shared" si="8"/>
        <v>0</v>
      </c>
      <c r="H155" s="58">
        <f t="shared" si="10"/>
        <v>9608.7800000000007</v>
      </c>
    </row>
    <row r="156" spans="1:8" ht="22.5" customHeight="1">
      <c r="A156" s="23"/>
      <c r="B156" s="34"/>
      <c r="C156" s="21"/>
      <c r="D156" s="24"/>
      <c r="E156" s="24"/>
      <c r="F156" s="25"/>
      <c r="G156" s="57">
        <f t="shared" si="8"/>
        <v>0</v>
      </c>
      <c r="H156" s="58">
        <f t="shared" si="10"/>
        <v>9608.7800000000007</v>
      </c>
    </row>
    <row r="157" spans="1:8" ht="22.5" customHeight="1">
      <c r="A157" s="23"/>
      <c r="B157" s="34"/>
      <c r="C157" s="21"/>
      <c r="D157" s="24"/>
      <c r="E157" s="24"/>
      <c r="F157" s="25"/>
      <c r="G157" s="57">
        <f t="shared" si="8"/>
        <v>0</v>
      </c>
      <c r="H157" s="58">
        <f t="shared" si="10"/>
        <v>9608.7800000000007</v>
      </c>
    </row>
    <row r="158" spans="1:8" ht="22.5" customHeight="1">
      <c r="A158" s="23"/>
      <c r="B158" s="34"/>
      <c r="C158" s="21"/>
      <c r="D158" s="24"/>
      <c r="E158" s="24"/>
      <c r="F158" s="25"/>
      <c r="G158" s="57">
        <f t="shared" si="8"/>
        <v>0</v>
      </c>
      <c r="H158" s="58">
        <f t="shared" si="10"/>
        <v>9608.7800000000007</v>
      </c>
    </row>
    <row r="159" spans="1:8" ht="22.5" customHeight="1">
      <c r="A159" s="23"/>
      <c r="B159" s="34"/>
      <c r="C159" s="21"/>
      <c r="D159" s="24"/>
      <c r="E159" s="24"/>
      <c r="F159" s="25"/>
      <c r="G159" s="57">
        <f t="shared" si="8"/>
        <v>0</v>
      </c>
      <c r="H159" s="58">
        <f t="shared" si="10"/>
        <v>9608.7800000000007</v>
      </c>
    </row>
    <row r="160" spans="1:8" ht="22.5" customHeight="1">
      <c r="A160" s="23"/>
      <c r="B160" s="34"/>
      <c r="C160" s="21"/>
      <c r="D160" s="24"/>
      <c r="E160" s="24"/>
      <c r="F160" s="25"/>
      <c r="G160" s="57">
        <f t="shared" si="8"/>
        <v>0</v>
      </c>
      <c r="H160" s="58">
        <f t="shared" si="10"/>
        <v>9608.7800000000007</v>
      </c>
    </row>
    <row r="161" spans="1:8" ht="22.5" customHeight="1">
      <c r="A161" s="23"/>
      <c r="B161" s="34"/>
      <c r="C161" s="21"/>
      <c r="D161" s="24"/>
      <c r="E161" s="24"/>
      <c r="F161" s="25"/>
      <c r="G161" s="57">
        <f t="shared" si="8"/>
        <v>0</v>
      </c>
      <c r="H161" s="58">
        <f t="shared" si="10"/>
        <v>9608.7800000000007</v>
      </c>
    </row>
    <row r="162" spans="1:8" ht="22.5" customHeight="1">
      <c r="A162" s="23"/>
      <c r="B162" s="34"/>
      <c r="C162" s="21"/>
      <c r="D162" s="24"/>
      <c r="E162" s="24"/>
      <c r="F162" s="25"/>
      <c r="G162" s="57">
        <f t="shared" si="8"/>
        <v>0</v>
      </c>
      <c r="H162" s="58">
        <f t="shared" si="10"/>
        <v>9608.7800000000007</v>
      </c>
    </row>
    <row r="163" spans="1:8" ht="22.5" customHeight="1">
      <c r="A163" s="23"/>
      <c r="B163" s="34"/>
      <c r="C163" s="21"/>
      <c r="D163" s="24"/>
      <c r="E163" s="24"/>
      <c r="F163" s="25"/>
      <c r="G163" s="57">
        <f t="shared" si="8"/>
        <v>0</v>
      </c>
      <c r="H163" s="58">
        <f t="shared" si="10"/>
        <v>9608.7800000000007</v>
      </c>
    </row>
    <row r="164" spans="1:8" ht="22.5" customHeight="1">
      <c r="A164" s="23"/>
      <c r="B164" s="34"/>
      <c r="C164" s="21"/>
      <c r="D164" s="24"/>
      <c r="E164" s="24"/>
      <c r="F164" s="25"/>
      <c r="G164" s="57">
        <f t="shared" si="8"/>
        <v>0</v>
      </c>
      <c r="H164" s="58">
        <f t="shared" si="10"/>
        <v>9608.7800000000007</v>
      </c>
    </row>
    <row r="165" spans="1:8" ht="22.5" customHeight="1">
      <c r="A165" s="23"/>
      <c r="B165" s="34"/>
      <c r="C165" s="21"/>
      <c r="D165" s="24"/>
      <c r="E165" s="24"/>
      <c r="F165" s="25"/>
      <c r="G165" s="57">
        <f t="shared" si="8"/>
        <v>0</v>
      </c>
      <c r="H165" s="58">
        <f t="shared" si="10"/>
        <v>9608.7800000000007</v>
      </c>
    </row>
    <row r="166" spans="1:8" ht="22.5" customHeight="1">
      <c r="A166" s="23"/>
      <c r="B166" s="34"/>
      <c r="C166" s="21"/>
      <c r="D166" s="24"/>
      <c r="E166" s="24"/>
      <c r="F166" s="25"/>
      <c r="G166" s="57">
        <f t="shared" si="8"/>
        <v>0</v>
      </c>
      <c r="H166" s="58">
        <f t="shared" si="10"/>
        <v>9608.7800000000007</v>
      </c>
    </row>
    <row r="167" spans="1:8" ht="22.5" customHeight="1">
      <c r="A167" s="23"/>
      <c r="B167" s="34"/>
      <c r="C167" s="21"/>
      <c r="D167" s="24"/>
      <c r="E167" s="24"/>
      <c r="F167" s="25"/>
      <c r="G167" s="57">
        <f t="shared" ref="G167:G198" si="11">IF(A167="Despesas",E167*-1,IF(A167="Receitas",E167,0))</f>
        <v>0</v>
      </c>
      <c r="H167" s="58">
        <f t="shared" si="10"/>
        <v>9608.7800000000007</v>
      </c>
    </row>
    <row r="168" spans="1:8" ht="22.5" customHeight="1">
      <c r="A168" s="23"/>
      <c r="B168" s="34"/>
      <c r="C168" s="21"/>
      <c r="D168" s="24"/>
      <c r="E168" s="24"/>
      <c r="F168" s="25"/>
      <c r="G168" s="57">
        <f t="shared" si="11"/>
        <v>0</v>
      </c>
      <c r="H168" s="58">
        <f t="shared" si="10"/>
        <v>9608.7800000000007</v>
      </c>
    </row>
    <row r="169" spans="1:8" ht="22.5" customHeight="1">
      <c r="A169" s="23"/>
      <c r="B169" s="34"/>
      <c r="C169" s="21"/>
      <c r="D169" s="24"/>
      <c r="E169" s="24"/>
      <c r="F169" s="25"/>
      <c r="G169" s="57">
        <f t="shared" si="11"/>
        <v>0</v>
      </c>
      <c r="H169" s="58">
        <f t="shared" si="10"/>
        <v>9608.7800000000007</v>
      </c>
    </row>
    <row r="170" spans="1:8" ht="22.5" customHeight="1">
      <c r="A170" s="23"/>
      <c r="B170" s="34"/>
      <c r="C170" s="21"/>
      <c r="D170" s="24"/>
      <c r="E170" s="24"/>
      <c r="F170" s="25"/>
      <c r="G170" s="57">
        <f t="shared" si="11"/>
        <v>0</v>
      </c>
      <c r="H170" s="58">
        <f t="shared" si="10"/>
        <v>9608.7800000000007</v>
      </c>
    </row>
    <row r="171" spans="1:8" ht="22.5" customHeight="1">
      <c r="A171" s="23"/>
      <c r="B171" s="34"/>
      <c r="C171" s="21"/>
      <c r="D171" s="24"/>
      <c r="E171" s="24"/>
      <c r="F171" s="25"/>
      <c r="G171" s="57">
        <f t="shared" si="11"/>
        <v>0</v>
      </c>
      <c r="H171" s="58">
        <f t="shared" si="10"/>
        <v>9608.7800000000007</v>
      </c>
    </row>
    <row r="172" spans="1:8" ht="22.5" customHeight="1">
      <c r="A172" s="23"/>
      <c r="B172" s="34"/>
      <c r="C172" s="21"/>
      <c r="D172" s="24"/>
      <c r="E172" s="24"/>
      <c r="F172" s="25"/>
      <c r="G172" s="57">
        <f t="shared" si="11"/>
        <v>0</v>
      </c>
      <c r="H172" s="58">
        <f t="shared" si="10"/>
        <v>9608.7800000000007</v>
      </c>
    </row>
    <row r="173" spans="1:8" ht="22.5" customHeight="1">
      <c r="A173" s="23"/>
      <c r="B173" s="34"/>
      <c r="C173" s="21"/>
      <c r="D173" s="24"/>
      <c r="E173" s="24"/>
      <c r="F173" s="25"/>
      <c r="G173" s="57">
        <f t="shared" si="11"/>
        <v>0</v>
      </c>
      <c r="H173" s="58">
        <f t="shared" si="10"/>
        <v>9608.7800000000007</v>
      </c>
    </row>
    <row r="174" spans="1:8" ht="22.5" customHeight="1">
      <c r="A174" s="23"/>
      <c r="B174" s="34"/>
      <c r="C174" s="21"/>
      <c r="D174" s="24"/>
      <c r="E174" s="24"/>
      <c r="F174" s="25"/>
      <c r="G174" s="57">
        <f t="shared" si="11"/>
        <v>0</v>
      </c>
      <c r="H174" s="58">
        <f t="shared" si="10"/>
        <v>9608.7800000000007</v>
      </c>
    </row>
    <row r="175" spans="1:8" ht="22.5" customHeight="1">
      <c r="A175" s="23"/>
      <c r="B175" s="34"/>
      <c r="C175" s="21"/>
      <c r="D175" s="24"/>
      <c r="E175" s="24"/>
      <c r="F175" s="25"/>
      <c r="G175" s="57">
        <f t="shared" si="11"/>
        <v>0</v>
      </c>
      <c r="H175" s="58">
        <f t="shared" si="10"/>
        <v>9608.7800000000007</v>
      </c>
    </row>
    <row r="176" spans="1:8" ht="22.5" customHeight="1">
      <c r="A176" s="23"/>
      <c r="B176" s="34"/>
      <c r="C176" s="21"/>
      <c r="D176" s="24"/>
      <c r="E176" s="24"/>
      <c r="F176" s="25"/>
      <c r="G176" s="57">
        <f t="shared" si="11"/>
        <v>0</v>
      </c>
      <c r="H176" s="58">
        <f t="shared" si="10"/>
        <v>9608.7800000000007</v>
      </c>
    </row>
    <row r="177" spans="1:8" ht="22.5" customHeight="1">
      <c r="A177" s="23"/>
      <c r="B177" s="34"/>
      <c r="C177" s="21"/>
      <c r="D177" s="24"/>
      <c r="E177" s="24"/>
      <c r="F177" s="25"/>
      <c r="G177" s="57">
        <f t="shared" si="11"/>
        <v>0</v>
      </c>
      <c r="H177" s="58">
        <f t="shared" si="10"/>
        <v>9608.7800000000007</v>
      </c>
    </row>
    <row r="178" spans="1:8" ht="22.5" customHeight="1">
      <c r="A178" s="23"/>
      <c r="B178" s="34"/>
      <c r="C178" s="21"/>
      <c r="D178" s="24"/>
      <c r="E178" s="24"/>
      <c r="F178" s="25"/>
      <c r="G178" s="57">
        <f t="shared" si="11"/>
        <v>0</v>
      </c>
      <c r="H178" s="58">
        <f t="shared" si="10"/>
        <v>9608.7800000000007</v>
      </c>
    </row>
    <row r="179" spans="1:8" ht="22.5" customHeight="1">
      <c r="A179" s="23"/>
      <c r="B179" s="34"/>
      <c r="C179" s="21"/>
      <c r="D179" s="24"/>
      <c r="E179" s="24"/>
      <c r="F179" s="25"/>
      <c r="G179" s="57">
        <f t="shared" si="11"/>
        <v>0</v>
      </c>
      <c r="H179" s="58">
        <f t="shared" si="10"/>
        <v>9608.7800000000007</v>
      </c>
    </row>
    <row r="180" spans="1:8" ht="22.5" customHeight="1">
      <c r="A180" s="23"/>
      <c r="B180" s="34"/>
      <c r="C180" s="21"/>
      <c r="D180" s="24"/>
      <c r="E180" s="24"/>
      <c r="F180" s="25"/>
      <c r="G180" s="57">
        <f t="shared" si="11"/>
        <v>0</v>
      </c>
      <c r="H180" s="58">
        <f t="shared" si="10"/>
        <v>9608.7800000000007</v>
      </c>
    </row>
    <row r="181" spans="1:8" ht="22.5" customHeight="1">
      <c r="A181" s="23"/>
      <c r="B181" s="34"/>
      <c r="C181" s="21"/>
      <c r="D181" s="24"/>
      <c r="E181" s="24"/>
      <c r="F181" s="25"/>
      <c r="G181" s="57">
        <f t="shared" si="11"/>
        <v>0</v>
      </c>
      <c r="H181" s="58">
        <f t="shared" si="10"/>
        <v>9608.7800000000007</v>
      </c>
    </row>
    <row r="182" spans="1:8" ht="22.5" customHeight="1">
      <c r="A182" s="23"/>
      <c r="B182" s="34"/>
      <c r="C182" s="21"/>
      <c r="D182" s="24"/>
      <c r="E182" s="24"/>
      <c r="F182" s="25"/>
      <c r="G182" s="57">
        <f t="shared" si="11"/>
        <v>0</v>
      </c>
      <c r="H182" s="58">
        <f t="shared" si="10"/>
        <v>9608.7800000000007</v>
      </c>
    </row>
    <row r="183" spans="1:8" ht="22.5" customHeight="1">
      <c r="A183" s="23"/>
      <c r="B183" s="34"/>
      <c r="C183" s="21"/>
      <c r="D183" s="24"/>
      <c r="E183" s="24"/>
      <c r="F183" s="25"/>
      <c r="G183" s="57">
        <f t="shared" si="11"/>
        <v>0</v>
      </c>
      <c r="H183" s="58">
        <f t="shared" si="10"/>
        <v>9608.7800000000007</v>
      </c>
    </row>
    <row r="184" spans="1:8" ht="22.5" customHeight="1">
      <c r="A184" s="23"/>
      <c r="B184" s="34"/>
      <c r="C184" s="21"/>
      <c r="D184" s="24"/>
      <c r="E184" s="24"/>
      <c r="F184" s="25"/>
      <c r="G184" s="57">
        <f t="shared" si="11"/>
        <v>0</v>
      </c>
      <c r="H184" s="58">
        <f t="shared" si="10"/>
        <v>9608.7800000000007</v>
      </c>
    </row>
    <row r="185" spans="1:8" ht="22.5" customHeight="1">
      <c r="A185" s="23"/>
      <c r="B185" s="34"/>
      <c r="C185" s="21"/>
      <c r="D185" s="24"/>
      <c r="E185" s="24"/>
      <c r="F185" s="25"/>
      <c r="G185" s="57">
        <f t="shared" si="11"/>
        <v>0</v>
      </c>
      <c r="H185" s="58">
        <f t="shared" si="10"/>
        <v>9608.7800000000007</v>
      </c>
    </row>
    <row r="186" spans="1:8" ht="22.5" customHeight="1">
      <c r="A186" s="23"/>
      <c r="B186" s="34"/>
      <c r="C186" s="21"/>
      <c r="D186" s="24"/>
      <c r="E186" s="24"/>
      <c r="F186" s="25"/>
      <c r="G186" s="57">
        <f t="shared" si="11"/>
        <v>0</v>
      </c>
      <c r="H186" s="58">
        <f t="shared" si="10"/>
        <v>9608.7800000000007</v>
      </c>
    </row>
    <row r="187" spans="1:8" ht="22.5" customHeight="1">
      <c r="A187" s="23"/>
      <c r="B187" s="34"/>
      <c r="C187" s="21"/>
      <c r="D187" s="24"/>
      <c r="E187" s="24"/>
      <c r="F187" s="25"/>
      <c r="G187" s="57">
        <f t="shared" si="11"/>
        <v>0</v>
      </c>
      <c r="H187" s="58">
        <f t="shared" si="10"/>
        <v>9608.7800000000007</v>
      </c>
    </row>
    <row r="188" spans="1:8" ht="22.5" customHeight="1">
      <c r="A188" s="23"/>
      <c r="B188" s="34"/>
      <c r="C188" s="21"/>
      <c r="D188" s="24"/>
      <c r="E188" s="24"/>
      <c r="F188" s="25"/>
      <c r="G188" s="57">
        <f t="shared" si="11"/>
        <v>0</v>
      </c>
      <c r="H188" s="58">
        <f t="shared" si="10"/>
        <v>9608.7800000000007</v>
      </c>
    </row>
    <row r="189" spans="1:8" ht="22.5" customHeight="1">
      <c r="A189" s="23"/>
      <c r="B189" s="34"/>
      <c r="C189" s="21"/>
      <c r="D189" s="24"/>
      <c r="E189" s="24"/>
      <c r="F189" s="25"/>
      <c r="G189" s="57">
        <f t="shared" si="11"/>
        <v>0</v>
      </c>
      <c r="H189" s="58">
        <f t="shared" si="10"/>
        <v>9608.7800000000007</v>
      </c>
    </row>
    <row r="190" spans="1:8" ht="22.5" customHeight="1">
      <c r="A190" s="23"/>
      <c r="B190" s="34"/>
      <c r="C190" s="21"/>
      <c r="D190" s="24"/>
      <c r="E190" s="24"/>
      <c r="F190" s="25"/>
      <c r="G190" s="57">
        <f t="shared" si="11"/>
        <v>0</v>
      </c>
      <c r="H190" s="58">
        <f t="shared" si="10"/>
        <v>9608.7800000000007</v>
      </c>
    </row>
    <row r="191" spans="1:8" ht="22.5" customHeight="1">
      <c r="A191" s="23"/>
      <c r="B191" s="34"/>
      <c r="C191" s="21"/>
      <c r="D191" s="24"/>
      <c r="E191" s="24"/>
      <c r="F191" s="25"/>
      <c r="G191" s="57">
        <f t="shared" si="11"/>
        <v>0</v>
      </c>
      <c r="H191" s="58">
        <f t="shared" si="10"/>
        <v>9608.7800000000007</v>
      </c>
    </row>
    <row r="192" spans="1:8" ht="22.5" customHeight="1">
      <c r="A192" s="23"/>
      <c r="B192" s="34"/>
      <c r="C192" s="21"/>
      <c r="D192" s="24"/>
      <c r="E192" s="24"/>
      <c r="F192" s="25"/>
      <c r="G192" s="57">
        <f t="shared" si="11"/>
        <v>0</v>
      </c>
      <c r="H192" s="58">
        <f t="shared" si="10"/>
        <v>9608.7800000000007</v>
      </c>
    </row>
    <row r="193" spans="1:8" ht="22.5" customHeight="1">
      <c r="A193" s="23"/>
      <c r="B193" s="34"/>
      <c r="C193" s="21"/>
      <c r="D193" s="24"/>
      <c r="E193" s="24"/>
      <c r="F193" s="25"/>
      <c r="G193" s="57">
        <f t="shared" si="11"/>
        <v>0</v>
      </c>
      <c r="H193" s="58">
        <f t="shared" si="10"/>
        <v>9608.7800000000007</v>
      </c>
    </row>
    <row r="194" spans="1:8" ht="22.5" customHeight="1">
      <c r="A194" s="23"/>
      <c r="B194" s="34"/>
      <c r="C194" s="21"/>
      <c r="D194" s="24"/>
      <c r="E194" s="24"/>
      <c r="F194" s="25"/>
      <c r="G194" s="57">
        <f t="shared" si="11"/>
        <v>0</v>
      </c>
      <c r="H194" s="58">
        <f t="shared" si="10"/>
        <v>9608.7800000000007</v>
      </c>
    </row>
    <row r="195" spans="1:8" ht="22.5" customHeight="1">
      <c r="A195" s="23"/>
      <c r="B195" s="34"/>
      <c r="C195" s="21"/>
      <c r="D195" s="24"/>
      <c r="E195" s="24"/>
      <c r="F195" s="25"/>
      <c r="G195" s="57">
        <f t="shared" si="11"/>
        <v>0</v>
      </c>
      <c r="H195" s="58">
        <f t="shared" si="10"/>
        <v>9608.7800000000007</v>
      </c>
    </row>
    <row r="196" spans="1:8" ht="22.5" customHeight="1">
      <c r="A196" s="23"/>
      <c r="B196" s="34"/>
      <c r="C196" s="21"/>
      <c r="D196" s="24"/>
      <c r="E196" s="24"/>
      <c r="F196" s="25"/>
      <c r="G196" s="57">
        <f t="shared" si="11"/>
        <v>0</v>
      </c>
      <c r="H196" s="58">
        <f t="shared" si="10"/>
        <v>9608.7800000000007</v>
      </c>
    </row>
    <row r="197" spans="1:8" ht="22.5" customHeight="1">
      <c r="A197" s="23"/>
      <c r="B197" s="34"/>
      <c r="C197" s="21"/>
      <c r="D197" s="24"/>
      <c r="E197" s="24"/>
      <c r="F197" s="25"/>
      <c r="G197" s="57">
        <f t="shared" si="11"/>
        <v>0</v>
      </c>
      <c r="H197" s="58">
        <f t="shared" si="10"/>
        <v>9608.7800000000007</v>
      </c>
    </row>
    <row r="198" spans="1:8" ht="22.5" customHeight="1">
      <c r="A198" s="23"/>
      <c r="B198" s="34"/>
      <c r="C198" s="21"/>
      <c r="D198" s="24"/>
      <c r="E198" s="24"/>
      <c r="F198" s="25"/>
      <c r="G198" s="57">
        <f t="shared" si="11"/>
        <v>0</v>
      </c>
      <c r="H198" s="58">
        <f t="shared" si="10"/>
        <v>9608.7800000000007</v>
      </c>
    </row>
    <row r="199" spans="1:8" ht="22.5" customHeight="1">
      <c r="A199" s="23"/>
      <c r="B199" s="34"/>
      <c r="C199" s="21"/>
      <c r="D199" s="24"/>
      <c r="E199" s="24"/>
      <c r="F199" s="25"/>
      <c r="G199" s="57">
        <f t="shared" ref="G199:G206" si="12">IF(A199="Despesas",E199*-1,IF(A199="Receitas",E199,0))</f>
        <v>0</v>
      </c>
      <c r="H199" s="58">
        <f t="shared" si="10"/>
        <v>9608.7800000000007</v>
      </c>
    </row>
    <row r="200" spans="1:8" ht="22.5" customHeight="1">
      <c r="A200" s="23"/>
      <c r="B200" s="34"/>
      <c r="C200" s="21"/>
      <c r="D200" s="24"/>
      <c r="E200" s="24"/>
      <c r="F200" s="25"/>
      <c r="G200" s="57">
        <f t="shared" si="12"/>
        <v>0</v>
      </c>
      <c r="H200" s="58">
        <f t="shared" si="10"/>
        <v>9608.7800000000007</v>
      </c>
    </row>
    <row r="201" spans="1:8" ht="22.5" customHeight="1">
      <c r="A201" s="23"/>
      <c r="B201" s="34"/>
      <c r="C201" s="21"/>
      <c r="D201" s="24"/>
      <c r="E201" s="24"/>
      <c r="F201" s="25"/>
      <c r="G201" s="57">
        <f t="shared" si="12"/>
        <v>0</v>
      </c>
      <c r="H201" s="58">
        <f t="shared" si="10"/>
        <v>9608.7800000000007</v>
      </c>
    </row>
    <row r="202" spans="1:8" ht="22.5" customHeight="1">
      <c r="A202" s="23"/>
      <c r="B202" s="34"/>
      <c r="C202" s="21"/>
      <c r="D202" s="24"/>
      <c r="E202" s="24"/>
      <c r="F202" s="25"/>
      <c r="G202" s="57">
        <f t="shared" si="12"/>
        <v>0</v>
      </c>
      <c r="H202" s="58">
        <f t="shared" si="10"/>
        <v>9608.7800000000007</v>
      </c>
    </row>
    <row r="203" spans="1:8" ht="22.5" customHeight="1">
      <c r="A203" s="23"/>
      <c r="B203" s="34"/>
      <c r="C203" s="21"/>
      <c r="D203" s="24"/>
      <c r="E203" s="24"/>
      <c r="F203" s="25"/>
      <c r="G203" s="57">
        <f t="shared" si="12"/>
        <v>0</v>
      </c>
      <c r="H203" s="58">
        <f t="shared" si="10"/>
        <v>9608.7800000000007</v>
      </c>
    </row>
    <row r="204" spans="1:8" ht="22.5" customHeight="1">
      <c r="A204" s="23"/>
      <c r="B204" s="34"/>
      <c r="C204" s="21"/>
      <c r="D204" s="24"/>
      <c r="E204" s="24"/>
      <c r="F204" s="25"/>
      <c r="G204" s="57">
        <f t="shared" si="12"/>
        <v>0</v>
      </c>
      <c r="H204" s="58">
        <f t="shared" si="10"/>
        <v>9608.7800000000007</v>
      </c>
    </row>
    <row r="205" spans="1:8" ht="22.5" customHeight="1">
      <c r="A205" s="23"/>
      <c r="B205" s="34"/>
      <c r="C205" s="21"/>
      <c r="D205" s="24"/>
      <c r="E205" s="24"/>
      <c r="F205" s="25"/>
      <c r="G205" s="57">
        <f t="shared" si="12"/>
        <v>0</v>
      </c>
      <c r="H205" s="58">
        <f t="shared" si="10"/>
        <v>9608.7800000000007</v>
      </c>
    </row>
    <row r="206" spans="1:8" ht="22.5" customHeight="1">
      <c r="A206" s="23"/>
      <c r="B206" s="34"/>
      <c r="C206" s="21"/>
      <c r="D206" s="24"/>
      <c r="E206" s="24"/>
      <c r="F206" s="25"/>
      <c r="G206" s="57">
        <f t="shared" si="12"/>
        <v>0</v>
      </c>
      <c r="H206" s="58">
        <f t="shared" si="10"/>
        <v>9608.7800000000007</v>
      </c>
    </row>
    <row r="207" spans="1:8" ht="22.5" customHeight="1">
      <c r="A207" s="54" t="s">
        <v>71</v>
      </c>
      <c r="B207" s="34" t="s">
        <v>72</v>
      </c>
      <c r="C207" s="54" t="s">
        <v>71</v>
      </c>
      <c r="D207" s="54" t="s">
        <v>71</v>
      </c>
      <c r="E207" s="54" t="s">
        <v>71</v>
      </c>
      <c r="F207" s="54" t="s">
        <v>71</v>
      </c>
      <c r="G207" s="59" t="s">
        <v>71</v>
      </c>
      <c r="H207" s="60" t="s">
        <v>72</v>
      </c>
    </row>
  </sheetData>
  <mergeCells count="4">
    <mergeCell ref="A1:A4"/>
    <mergeCell ref="C1:E3"/>
    <mergeCell ref="F1:F3"/>
    <mergeCell ref="H2:H3"/>
  </mergeCells>
  <conditionalFormatting sqref="H7:H207">
    <cfRule type="cellIs" dxfId="9" priority="1" operator="lessThan">
      <formula>0</formula>
    </cfRule>
  </conditionalFormatting>
  <dataValidations count="6">
    <dataValidation type="custom" allowBlank="1" showDropDown="1" sqref="F6:F206" xr:uid="{532FC5E6-9635-415B-9711-76B072AC74A0}">
      <formula1>OR(NOT(ISERROR(DATEVALUE(F6))), AND(ISNUMBER(F6), LEFT(CELL("format", F6))="D"))</formula1>
    </dataValidation>
    <dataValidation type="list" allowBlank="1" sqref="A7:A206 A6:B6" xr:uid="{C4BE3D8B-F49E-41E3-85BC-DE4C0CC9F2F1}">
      <formula1>"Receitas,Despesas"</formula1>
    </dataValidation>
    <dataValidation type="list" allowBlank="1" sqref="C207:G207 A207 C6" xr:uid="{BE2C4BAB-7082-4945-9341-4B7B4BDA2463}">
      <formula1>#REF!</formula1>
    </dataValidation>
    <dataValidation type="list" allowBlank="1" sqref="B207" xr:uid="{C70D0967-E61E-4F9A-8076-971E26E73E85}">
      <formula1>INDIRECT($A$7)</formula1>
    </dataValidation>
    <dataValidation type="list" allowBlank="1" sqref="B7:B206" xr:uid="{9DC215C6-45DE-40D1-8956-4DA9DFAFFEA3}">
      <formula1>INDIRECT(A7)</formula1>
    </dataValidation>
    <dataValidation type="list" allowBlank="1" sqref="C7:C206" xr:uid="{71566033-008B-4180-AD6A-7D65FC73C29F}">
      <formula1>Bancos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E56F-3AEB-479B-8061-23D07AC8AB4A}">
  <sheetPr>
    <outlinePr summaryBelow="0" summaryRight="0"/>
  </sheetPr>
  <dimension ref="A1:J207"/>
  <sheetViews>
    <sheetView showGridLines="0" workbookViewId="0">
      <selection activeCell="C4" sqref="C4"/>
    </sheetView>
  </sheetViews>
  <sheetFormatPr defaultColWidth="12.5703125" defaultRowHeight="15.75" customHeight="1"/>
  <cols>
    <col min="1" max="1" width="9.28515625" style="27" bestFit="1" customWidth="1"/>
    <col min="2" max="2" width="30.85546875" style="27" bestFit="1" customWidth="1"/>
    <col min="3" max="3" width="20.85546875" style="27" bestFit="1" customWidth="1"/>
    <col min="4" max="4" width="13.85546875" style="27" bestFit="1" customWidth="1"/>
    <col min="5" max="5" width="11.7109375" bestFit="1" customWidth="1"/>
    <col min="6" max="6" width="16.28515625" style="27" customWidth="1"/>
    <col min="7" max="7" width="11.7109375" style="27" hidden="1" customWidth="1"/>
    <col min="8" max="8" width="22.5703125" style="33" bestFit="1" customWidth="1"/>
    <col min="9" max="10" width="12.5703125" style="27" hidden="1" customWidth="1"/>
  </cols>
  <sheetData>
    <row r="1" spans="1:8" ht="19.5" customHeight="1">
      <c r="A1" s="70"/>
      <c r="B1" s="13"/>
      <c r="C1" s="74" t="s">
        <v>56</v>
      </c>
      <c r="D1" s="66"/>
      <c r="E1" s="62"/>
      <c r="F1" s="73" t="s">
        <v>44</v>
      </c>
      <c r="G1" s="14"/>
      <c r="H1" s="35" t="s">
        <v>43</v>
      </c>
    </row>
    <row r="2" spans="1:8" ht="12.75" customHeight="1">
      <c r="A2" s="66"/>
      <c r="B2" s="15"/>
      <c r="C2" s="66"/>
      <c r="D2" s="66"/>
      <c r="E2" s="62"/>
      <c r="F2" s="73"/>
      <c r="G2" s="14"/>
      <c r="H2" s="72">
        <f>MAR!H206</f>
        <v>9608.7800000000007</v>
      </c>
    </row>
    <row r="3" spans="1:8" ht="23.25" customHeight="1">
      <c r="A3" s="66"/>
      <c r="B3" s="12"/>
      <c r="C3" s="66"/>
      <c r="D3" s="66"/>
      <c r="E3" s="62"/>
      <c r="F3" s="73"/>
      <c r="G3" s="14"/>
      <c r="H3" s="72"/>
    </row>
    <row r="4" spans="1:8" ht="12.75">
      <c r="A4" s="66"/>
      <c r="B4" s="13"/>
      <c r="C4" s="16"/>
      <c r="D4" s="16"/>
      <c r="E4" s="16"/>
      <c r="F4" s="14"/>
      <c r="G4" s="14"/>
      <c r="H4" s="31"/>
    </row>
    <row r="5" spans="1:8" ht="22.5" customHeight="1">
      <c r="A5" s="28" t="s">
        <v>45</v>
      </c>
      <c r="B5" s="29" t="s">
        <v>46</v>
      </c>
      <c r="C5" s="30" t="s">
        <v>47</v>
      </c>
      <c r="D5" s="29" t="s">
        <v>48</v>
      </c>
      <c r="E5" s="36" t="s">
        <v>49</v>
      </c>
      <c r="F5" s="29" t="s">
        <v>50</v>
      </c>
      <c r="G5" s="32" t="s">
        <v>67</v>
      </c>
      <c r="H5" s="36" t="s">
        <v>51</v>
      </c>
    </row>
    <row r="6" spans="1:8" ht="22.5" customHeight="1">
      <c r="A6" s="26"/>
      <c r="B6" s="26"/>
      <c r="C6" s="26"/>
      <c r="D6" s="26" t="s">
        <v>52</v>
      </c>
      <c r="E6" s="17">
        <f>H2</f>
        <v>9608.7800000000007</v>
      </c>
      <c r="F6" s="18">
        <v>46112</v>
      </c>
      <c r="G6" s="55">
        <f>E6</f>
        <v>9608.7800000000007</v>
      </c>
      <c r="H6" s="56">
        <f>E6</f>
        <v>9608.7800000000007</v>
      </c>
    </row>
    <row r="7" spans="1:8" ht="22.5" customHeight="1">
      <c r="A7" s="34"/>
      <c r="B7" s="34"/>
      <c r="C7" s="21"/>
      <c r="D7" s="22"/>
      <c r="E7" s="22"/>
      <c r="F7" s="19"/>
      <c r="G7" s="57">
        <f t="shared" ref="G7:G38" si="0">IF(A7="Despesas",E7*-1,IF(A7="Receitas",E7,0))</f>
        <v>0</v>
      </c>
      <c r="H7" s="58">
        <f t="shared" ref="H7:H38" si="1">H6+G7</f>
        <v>9608.7800000000007</v>
      </c>
    </row>
    <row r="8" spans="1:8" ht="22.5" customHeight="1">
      <c r="A8" s="34"/>
      <c r="B8" s="34"/>
      <c r="C8" s="21"/>
      <c r="D8" s="22"/>
      <c r="E8" s="22"/>
      <c r="F8" s="20"/>
      <c r="G8" s="57">
        <f t="shared" si="0"/>
        <v>0</v>
      </c>
      <c r="H8" s="58">
        <f t="shared" si="1"/>
        <v>9608.7800000000007</v>
      </c>
    </row>
    <row r="9" spans="1:8" ht="22.5" customHeight="1">
      <c r="A9" s="21"/>
      <c r="B9" s="34"/>
      <c r="C9" s="21"/>
      <c r="D9" s="22"/>
      <c r="E9" s="22"/>
      <c r="F9" s="19"/>
      <c r="G9" s="57">
        <f t="shared" si="0"/>
        <v>0</v>
      </c>
      <c r="H9" s="58">
        <f t="shared" si="1"/>
        <v>9608.7800000000007</v>
      </c>
    </row>
    <row r="10" spans="1:8" ht="22.5" customHeight="1">
      <c r="A10" s="21"/>
      <c r="B10" s="34"/>
      <c r="C10" s="21"/>
      <c r="D10" s="22"/>
      <c r="E10" s="22"/>
      <c r="F10" s="20"/>
      <c r="G10" s="57">
        <f t="shared" si="0"/>
        <v>0</v>
      </c>
      <c r="H10" s="58">
        <f t="shared" si="1"/>
        <v>9608.7800000000007</v>
      </c>
    </row>
    <row r="11" spans="1:8" ht="22.5" customHeight="1">
      <c r="A11" s="21"/>
      <c r="B11" s="34"/>
      <c r="C11" s="21"/>
      <c r="D11" s="22"/>
      <c r="E11" s="22"/>
      <c r="F11" s="19"/>
      <c r="G11" s="57">
        <f t="shared" si="0"/>
        <v>0</v>
      </c>
      <c r="H11" s="58">
        <f t="shared" si="1"/>
        <v>9608.7800000000007</v>
      </c>
    </row>
    <row r="12" spans="1:8" ht="22.5" customHeight="1">
      <c r="A12" s="21"/>
      <c r="B12" s="34"/>
      <c r="C12" s="21"/>
      <c r="D12" s="22"/>
      <c r="E12" s="22"/>
      <c r="F12" s="20"/>
      <c r="G12" s="57">
        <f t="shared" si="0"/>
        <v>0</v>
      </c>
      <c r="H12" s="58">
        <f t="shared" si="1"/>
        <v>9608.7800000000007</v>
      </c>
    </row>
    <row r="13" spans="1:8" ht="22.5" customHeight="1">
      <c r="A13" s="21"/>
      <c r="B13" s="34"/>
      <c r="C13" s="21"/>
      <c r="D13" s="22"/>
      <c r="E13" s="22"/>
      <c r="F13" s="19"/>
      <c r="G13" s="57">
        <f t="shared" si="0"/>
        <v>0</v>
      </c>
      <c r="H13" s="58">
        <f t="shared" si="1"/>
        <v>9608.7800000000007</v>
      </c>
    </row>
    <row r="14" spans="1:8" ht="22.5" customHeight="1">
      <c r="A14" s="21"/>
      <c r="B14" s="34"/>
      <c r="C14" s="21"/>
      <c r="D14" s="22"/>
      <c r="E14" s="22"/>
      <c r="F14" s="20"/>
      <c r="G14" s="57">
        <f t="shared" si="0"/>
        <v>0</v>
      </c>
      <c r="H14" s="58">
        <f t="shared" si="1"/>
        <v>9608.7800000000007</v>
      </c>
    </row>
    <row r="15" spans="1:8" ht="22.5" customHeight="1">
      <c r="A15" s="21"/>
      <c r="B15" s="34"/>
      <c r="C15" s="21"/>
      <c r="D15" s="22"/>
      <c r="E15" s="22"/>
      <c r="F15" s="19"/>
      <c r="G15" s="57">
        <f t="shared" si="0"/>
        <v>0</v>
      </c>
      <c r="H15" s="58">
        <f t="shared" si="1"/>
        <v>9608.7800000000007</v>
      </c>
    </row>
    <row r="16" spans="1:8" ht="22.5" customHeight="1">
      <c r="A16" s="21"/>
      <c r="B16" s="34"/>
      <c r="C16" s="21"/>
      <c r="D16" s="22"/>
      <c r="E16" s="22"/>
      <c r="F16" s="20"/>
      <c r="G16" s="57">
        <f t="shared" si="0"/>
        <v>0</v>
      </c>
      <c r="H16" s="58">
        <f t="shared" si="1"/>
        <v>9608.7800000000007</v>
      </c>
    </row>
    <row r="17" spans="1:8" ht="22.5" customHeight="1">
      <c r="A17" s="21"/>
      <c r="B17" s="34"/>
      <c r="C17" s="21"/>
      <c r="D17" s="22"/>
      <c r="E17" s="22"/>
      <c r="F17" s="19"/>
      <c r="G17" s="57">
        <f t="shared" si="0"/>
        <v>0</v>
      </c>
      <c r="H17" s="58">
        <f t="shared" si="1"/>
        <v>9608.7800000000007</v>
      </c>
    </row>
    <row r="18" spans="1:8" ht="22.5" customHeight="1">
      <c r="A18" s="21"/>
      <c r="B18" s="34"/>
      <c r="C18" s="21"/>
      <c r="D18" s="22"/>
      <c r="E18" s="22"/>
      <c r="F18" s="20"/>
      <c r="G18" s="57">
        <f t="shared" si="0"/>
        <v>0</v>
      </c>
      <c r="H18" s="58">
        <f t="shared" si="1"/>
        <v>9608.7800000000007</v>
      </c>
    </row>
    <row r="19" spans="1:8" ht="22.5" customHeight="1">
      <c r="A19" s="21"/>
      <c r="B19" s="34"/>
      <c r="C19" s="21"/>
      <c r="D19" s="22"/>
      <c r="E19" s="22"/>
      <c r="F19" s="19"/>
      <c r="G19" s="57">
        <f t="shared" si="0"/>
        <v>0</v>
      </c>
      <c r="H19" s="58">
        <f t="shared" si="1"/>
        <v>9608.7800000000007</v>
      </c>
    </row>
    <row r="20" spans="1:8" ht="22.5" customHeight="1">
      <c r="A20" s="21"/>
      <c r="B20" s="34"/>
      <c r="C20" s="21"/>
      <c r="D20" s="22"/>
      <c r="E20" s="22"/>
      <c r="F20" s="20"/>
      <c r="G20" s="57">
        <f t="shared" si="0"/>
        <v>0</v>
      </c>
      <c r="H20" s="58">
        <f t="shared" si="1"/>
        <v>9608.7800000000007</v>
      </c>
    </row>
    <row r="21" spans="1:8" ht="22.5" customHeight="1">
      <c r="A21" s="21"/>
      <c r="B21" s="34"/>
      <c r="C21" s="21"/>
      <c r="D21" s="22"/>
      <c r="E21" s="22"/>
      <c r="F21" s="19"/>
      <c r="G21" s="57">
        <f t="shared" si="0"/>
        <v>0</v>
      </c>
      <c r="H21" s="58">
        <f t="shared" si="1"/>
        <v>9608.7800000000007</v>
      </c>
    </row>
    <row r="22" spans="1:8" ht="22.5" customHeight="1">
      <c r="A22" s="21"/>
      <c r="B22" s="34"/>
      <c r="C22" s="21"/>
      <c r="D22" s="22"/>
      <c r="E22" s="22"/>
      <c r="F22" s="20"/>
      <c r="G22" s="57">
        <f t="shared" si="0"/>
        <v>0</v>
      </c>
      <c r="H22" s="58">
        <f t="shared" si="1"/>
        <v>9608.7800000000007</v>
      </c>
    </row>
    <row r="23" spans="1:8" ht="22.5" customHeight="1">
      <c r="A23" s="21"/>
      <c r="B23" s="34"/>
      <c r="C23" s="21"/>
      <c r="D23" s="22"/>
      <c r="E23" s="22"/>
      <c r="F23" s="19"/>
      <c r="G23" s="57">
        <f t="shared" si="0"/>
        <v>0</v>
      </c>
      <c r="H23" s="58">
        <f t="shared" si="1"/>
        <v>9608.7800000000007</v>
      </c>
    </row>
    <row r="24" spans="1:8" ht="22.5" customHeight="1">
      <c r="A24" s="21"/>
      <c r="B24" s="34"/>
      <c r="C24" s="21"/>
      <c r="D24" s="22"/>
      <c r="E24" s="22"/>
      <c r="F24" s="20"/>
      <c r="G24" s="57">
        <f t="shared" si="0"/>
        <v>0</v>
      </c>
      <c r="H24" s="58">
        <f t="shared" si="1"/>
        <v>9608.7800000000007</v>
      </c>
    </row>
    <row r="25" spans="1:8" ht="22.5" customHeight="1">
      <c r="A25" s="21"/>
      <c r="B25" s="34"/>
      <c r="C25" s="21"/>
      <c r="D25" s="22"/>
      <c r="E25" s="22"/>
      <c r="F25" s="19"/>
      <c r="G25" s="57">
        <f t="shared" si="0"/>
        <v>0</v>
      </c>
      <c r="H25" s="58">
        <f t="shared" si="1"/>
        <v>9608.7800000000007</v>
      </c>
    </row>
    <row r="26" spans="1:8" ht="22.5" customHeight="1">
      <c r="A26" s="21"/>
      <c r="B26" s="34"/>
      <c r="C26" s="21"/>
      <c r="D26" s="22"/>
      <c r="E26" s="22"/>
      <c r="F26" s="20"/>
      <c r="G26" s="57">
        <f t="shared" si="0"/>
        <v>0</v>
      </c>
      <c r="H26" s="58">
        <f t="shared" si="1"/>
        <v>9608.7800000000007</v>
      </c>
    </row>
    <row r="27" spans="1:8" ht="22.5" customHeight="1">
      <c r="A27" s="21"/>
      <c r="B27" s="34"/>
      <c r="C27" s="21"/>
      <c r="D27" s="22"/>
      <c r="E27" s="22"/>
      <c r="F27" s="19"/>
      <c r="G27" s="57">
        <f t="shared" si="0"/>
        <v>0</v>
      </c>
      <c r="H27" s="58">
        <f t="shared" si="1"/>
        <v>9608.7800000000007</v>
      </c>
    </row>
    <row r="28" spans="1:8" ht="22.5" customHeight="1">
      <c r="A28" s="21"/>
      <c r="B28" s="34"/>
      <c r="C28" s="21"/>
      <c r="D28" s="22"/>
      <c r="E28" s="22"/>
      <c r="F28" s="20"/>
      <c r="G28" s="57">
        <f t="shared" si="0"/>
        <v>0</v>
      </c>
      <c r="H28" s="58">
        <f t="shared" si="1"/>
        <v>9608.7800000000007</v>
      </c>
    </row>
    <row r="29" spans="1:8" ht="22.5" customHeight="1">
      <c r="A29" s="21"/>
      <c r="B29" s="34"/>
      <c r="C29" s="21"/>
      <c r="D29" s="22"/>
      <c r="E29" s="22"/>
      <c r="F29" s="19"/>
      <c r="G29" s="57">
        <f t="shared" si="0"/>
        <v>0</v>
      </c>
      <c r="H29" s="58">
        <f t="shared" si="1"/>
        <v>9608.7800000000007</v>
      </c>
    </row>
    <row r="30" spans="1:8" ht="22.5" customHeight="1">
      <c r="A30" s="21"/>
      <c r="B30" s="34"/>
      <c r="C30" s="21"/>
      <c r="D30" s="22"/>
      <c r="E30" s="22"/>
      <c r="F30" s="20"/>
      <c r="G30" s="57">
        <f t="shared" si="0"/>
        <v>0</v>
      </c>
      <c r="H30" s="58">
        <f t="shared" si="1"/>
        <v>9608.7800000000007</v>
      </c>
    </row>
    <row r="31" spans="1:8" ht="22.5" customHeight="1">
      <c r="A31" s="21"/>
      <c r="B31" s="34"/>
      <c r="C31" s="21"/>
      <c r="D31" s="22"/>
      <c r="E31" s="22"/>
      <c r="F31" s="19"/>
      <c r="G31" s="57">
        <f t="shared" si="0"/>
        <v>0</v>
      </c>
      <c r="H31" s="58">
        <f t="shared" si="1"/>
        <v>9608.7800000000007</v>
      </c>
    </row>
    <row r="32" spans="1:8" ht="22.5" customHeight="1">
      <c r="A32" s="21"/>
      <c r="B32" s="34"/>
      <c r="C32" s="21"/>
      <c r="D32" s="22"/>
      <c r="E32" s="22"/>
      <c r="F32" s="20"/>
      <c r="G32" s="57">
        <f t="shared" si="0"/>
        <v>0</v>
      </c>
      <c r="H32" s="58">
        <f t="shared" si="1"/>
        <v>9608.7800000000007</v>
      </c>
    </row>
    <row r="33" spans="1:8" ht="22.5" customHeight="1">
      <c r="A33" s="21"/>
      <c r="B33" s="34"/>
      <c r="C33" s="21"/>
      <c r="D33" s="22"/>
      <c r="E33" s="22"/>
      <c r="F33" s="19"/>
      <c r="G33" s="57">
        <f t="shared" si="0"/>
        <v>0</v>
      </c>
      <c r="H33" s="58">
        <f t="shared" si="1"/>
        <v>9608.7800000000007</v>
      </c>
    </row>
    <row r="34" spans="1:8" ht="22.5" customHeight="1">
      <c r="A34" s="23"/>
      <c r="B34" s="34"/>
      <c r="C34" s="21"/>
      <c r="D34" s="24"/>
      <c r="E34" s="24"/>
      <c r="F34" s="20"/>
      <c r="G34" s="57">
        <f t="shared" si="0"/>
        <v>0</v>
      </c>
      <c r="H34" s="58">
        <f t="shared" si="1"/>
        <v>9608.7800000000007</v>
      </c>
    </row>
    <row r="35" spans="1:8" ht="22.5" customHeight="1">
      <c r="A35" s="23"/>
      <c r="B35" s="34"/>
      <c r="C35" s="21"/>
      <c r="D35" s="24"/>
      <c r="E35" s="24"/>
      <c r="F35" s="19"/>
      <c r="G35" s="57">
        <f t="shared" si="0"/>
        <v>0</v>
      </c>
      <c r="H35" s="58">
        <f t="shared" si="1"/>
        <v>9608.7800000000007</v>
      </c>
    </row>
    <row r="36" spans="1:8" ht="22.5" customHeight="1">
      <c r="A36" s="23"/>
      <c r="B36" s="34"/>
      <c r="C36" s="21"/>
      <c r="D36" s="24"/>
      <c r="E36" s="24"/>
      <c r="F36" s="20"/>
      <c r="G36" s="57">
        <f t="shared" si="0"/>
        <v>0</v>
      </c>
      <c r="H36" s="58">
        <f t="shared" si="1"/>
        <v>9608.7800000000007</v>
      </c>
    </row>
    <row r="37" spans="1:8" ht="22.5" customHeight="1">
      <c r="A37" s="23"/>
      <c r="B37" s="34"/>
      <c r="C37" s="21"/>
      <c r="D37" s="24"/>
      <c r="E37" s="24"/>
      <c r="F37" s="19"/>
      <c r="G37" s="57">
        <f t="shared" si="0"/>
        <v>0</v>
      </c>
      <c r="H37" s="58">
        <f t="shared" si="1"/>
        <v>9608.7800000000007</v>
      </c>
    </row>
    <row r="38" spans="1:8" ht="22.5" customHeight="1">
      <c r="A38" s="23"/>
      <c r="B38" s="34"/>
      <c r="C38" s="21"/>
      <c r="D38" s="24"/>
      <c r="E38" s="24"/>
      <c r="F38" s="25"/>
      <c r="G38" s="57">
        <f t="shared" si="0"/>
        <v>0</v>
      </c>
      <c r="H38" s="58">
        <f t="shared" si="1"/>
        <v>9608.7800000000007</v>
      </c>
    </row>
    <row r="39" spans="1:8" ht="22.5" customHeight="1">
      <c r="A39" s="23"/>
      <c r="B39" s="34"/>
      <c r="C39" s="21"/>
      <c r="D39" s="24"/>
      <c r="E39" s="24"/>
      <c r="F39" s="25"/>
      <c r="G39" s="57">
        <f t="shared" ref="G39:G70" si="2">IF(A39="Despesas",E39*-1,IF(A39="Receitas",E39,0))</f>
        <v>0</v>
      </c>
      <c r="H39" s="58">
        <f t="shared" ref="H39:H70" si="3">H38+G39</f>
        <v>9608.7800000000007</v>
      </c>
    </row>
    <row r="40" spans="1:8" ht="22.5" customHeight="1">
      <c r="A40" s="23"/>
      <c r="B40" s="34"/>
      <c r="C40" s="21"/>
      <c r="D40" s="24"/>
      <c r="E40" s="24"/>
      <c r="F40" s="25"/>
      <c r="G40" s="57">
        <f t="shared" si="2"/>
        <v>0</v>
      </c>
      <c r="H40" s="58">
        <f t="shared" si="3"/>
        <v>9608.7800000000007</v>
      </c>
    </row>
    <row r="41" spans="1:8" ht="22.5" customHeight="1">
      <c r="A41" s="23"/>
      <c r="B41" s="34"/>
      <c r="C41" s="21"/>
      <c r="D41" s="24"/>
      <c r="E41" s="24"/>
      <c r="F41" s="25"/>
      <c r="G41" s="57">
        <f t="shared" si="2"/>
        <v>0</v>
      </c>
      <c r="H41" s="58">
        <f t="shared" si="3"/>
        <v>9608.7800000000007</v>
      </c>
    </row>
    <row r="42" spans="1:8" ht="22.5" customHeight="1">
      <c r="A42" s="23"/>
      <c r="B42" s="34"/>
      <c r="C42" s="21"/>
      <c r="D42" s="24"/>
      <c r="E42" s="24"/>
      <c r="F42" s="25"/>
      <c r="G42" s="57">
        <f t="shared" si="2"/>
        <v>0</v>
      </c>
      <c r="H42" s="58">
        <f t="shared" si="3"/>
        <v>9608.7800000000007</v>
      </c>
    </row>
    <row r="43" spans="1:8" ht="22.5" customHeight="1">
      <c r="A43" s="23"/>
      <c r="B43" s="34"/>
      <c r="C43" s="21"/>
      <c r="D43" s="24"/>
      <c r="E43" s="24"/>
      <c r="F43" s="25"/>
      <c r="G43" s="57">
        <f t="shared" si="2"/>
        <v>0</v>
      </c>
      <c r="H43" s="58">
        <f t="shared" si="3"/>
        <v>9608.7800000000007</v>
      </c>
    </row>
    <row r="44" spans="1:8" ht="22.5" customHeight="1">
      <c r="A44" s="23"/>
      <c r="B44" s="34"/>
      <c r="C44" s="21"/>
      <c r="D44" s="24"/>
      <c r="E44" s="24"/>
      <c r="F44" s="25"/>
      <c r="G44" s="57">
        <f t="shared" si="2"/>
        <v>0</v>
      </c>
      <c r="H44" s="58">
        <f t="shared" si="3"/>
        <v>9608.7800000000007</v>
      </c>
    </row>
    <row r="45" spans="1:8" ht="22.5" customHeight="1">
      <c r="A45" s="23"/>
      <c r="B45" s="34"/>
      <c r="C45" s="21"/>
      <c r="D45" s="24"/>
      <c r="E45" s="24"/>
      <c r="F45" s="25"/>
      <c r="G45" s="57">
        <f t="shared" si="2"/>
        <v>0</v>
      </c>
      <c r="H45" s="58">
        <f t="shared" si="3"/>
        <v>9608.7800000000007</v>
      </c>
    </row>
    <row r="46" spans="1:8" ht="22.5" customHeight="1">
      <c r="A46" s="23"/>
      <c r="B46" s="34"/>
      <c r="C46" s="21"/>
      <c r="D46" s="24"/>
      <c r="E46" s="24"/>
      <c r="F46" s="25"/>
      <c r="G46" s="57">
        <f t="shared" si="2"/>
        <v>0</v>
      </c>
      <c r="H46" s="58">
        <f t="shared" si="3"/>
        <v>9608.7800000000007</v>
      </c>
    </row>
    <row r="47" spans="1:8" ht="22.5" customHeight="1">
      <c r="A47" s="23"/>
      <c r="B47" s="34"/>
      <c r="C47" s="21"/>
      <c r="D47" s="24"/>
      <c r="E47" s="24"/>
      <c r="F47" s="25"/>
      <c r="G47" s="57">
        <f t="shared" si="2"/>
        <v>0</v>
      </c>
      <c r="H47" s="58">
        <f t="shared" si="3"/>
        <v>9608.7800000000007</v>
      </c>
    </row>
    <row r="48" spans="1:8" ht="22.5" customHeight="1">
      <c r="A48" s="23"/>
      <c r="B48" s="34"/>
      <c r="C48" s="21"/>
      <c r="D48" s="24"/>
      <c r="E48" s="24"/>
      <c r="F48" s="25"/>
      <c r="G48" s="57">
        <f t="shared" si="2"/>
        <v>0</v>
      </c>
      <c r="H48" s="58">
        <f t="shared" si="3"/>
        <v>9608.7800000000007</v>
      </c>
    </row>
    <row r="49" spans="1:8" ht="22.5" customHeight="1">
      <c r="A49" s="23"/>
      <c r="B49" s="34"/>
      <c r="C49" s="21"/>
      <c r="D49" s="24"/>
      <c r="E49" s="24"/>
      <c r="F49" s="25"/>
      <c r="G49" s="57">
        <f t="shared" si="2"/>
        <v>0</v>
      </c>
      <c r="H49" s="58">
        <f t="shared" si="3"/>
        <v>9608.7800000000007</v>
      </c>
    </row>
    <row r="50" spans="1:8" ht="22.5" customHeight="1">
      <c r="A50" s="23"/>
      <c r="B50" s="34"/>
      <c r="C50" s="21"/>
      <c r="D50" s="24"/>
      <c r="E50" s="24"/>
      <c r="F50" s="25"/>
      <c r="G50" s="57">
        <f t="shared" si="2"/>
        <v>0</v>
      </c>
      <c r="H50" s="58">
        <f t="shared" si="3"/>
        <v>9608.7800000000007</v>
      </c>
    </row>
    <row r="51" spans="1:8" ht="22.5" customHeight="1">
      <c r="A51" s="23"/>
      <c r="B51" s="34"/>
      <c r="C51" s="21"/>
      <c r="D51" s="24"/>
      <c r="E51" s="24"/>
      <c r="F51" s="25"/>
      <c r="G51" s="57">
        <f t="shared" si="2"/>
        <v>0</v>
      </c>
      <c r="H51" s="58">
        <f t="shared" si="3"/>
        <v>9608.7800000000007</v>
      </c>
    </row>
    <row r="52" spans="1:8" ht="22.5" customHeight="1">
      <c r="A52" s="23"/>
      <c r="B52" s="34"/>
      <c r="C52" s="21"/>
      <c r="D52" s="24"/>
      <c r="E52" s="24"/>
      <c r="F52" s="25"/>
      <c r="G52" s="57">
        <f t="shared" si="2"/>
        <v>0</v>
      </c>
      <c r="H52" s="58">
        <f t="shared" si="3"/>
        <v>9608.7800000000007</v>
      </c>
    </row>
    <row r="53" spans="1:8" ht="22.5" customHeight="1">
      <c r="A53" s="23"/>
      <c r="B53" s="34"/>
      <c r="C53" s="21"/>
      <c r="D53" s="24"/>
      <c r="E53" s="24"/>
      <c r="F53" s="25"/>
      <c r="G53" s="57">
        <f t="shared" si="2"/>
        <v>0</v>
      </c>
      <c r="H53" s="58">
        <f t="shared" si="3"/>
        <v>9608.7800000000007</v>
      </c>
    </row>
    <row r="54" spans="1:8" ht="22.5" customHeight="1">
      <c r="A54" s="23"/>
      <c r="B54" s="34"/>
      <c r="C54" s="21"/>
      <c r="D54" s="24"/>
      <c r="E54" s="24"/>
      <c r="F54" s="25"/>
      <c r="G54" s="57">
        <f t="shared" si="2"/>
        <v>0</v>
      </c>
      <c r="H54" s="58">
        <f t="shared" si="3"/>
        <v>9608.7800000000007</v>
      </c>
    </row>
    <row r="55" spans="1:8" ht="22.5" customHeight="1">
      <c r="A55" s="23"/>
      <c r="B55" s="34"/>
      <c r="C55" s="21"/>
      <c r="D55" s="24"/>
      <c r="E55" s="24"/>
      <c r="F55" s="25"/>
      <c r="G55" s="57">
        <f t="shared" si="2"/>
        <v>0</v>
      </c>
      <c r="H55" s="58">
        <f t="shared" si="3"/>
        <v>9608.7800000000007</v>
      </c>
    </row>
    <row r="56" spans="1:8" ht="22.5" customHeight="1">
      <c r="A56" s="23"/>
      <c r="B56" s="34"/>
      <c r="C56" s="21"/>
      <c r="D56" s="24"/>
      <c r="E56" s="24"/>
      <c r="F56" s="25"/>
      <c r="G56" s="57">
        <f t="shared" si="2"/>
        <v>0</v>
      </c>
      <c r="H56" s="58">
        <f t="shared" si="3"/>
        <v>9608.7800000000007</v>
      </c>
    </row>
    <row r="57" spans="1:8" ht="22.5" customHeight="1">
      <c r="A57" s="23"/>
      <c r="B57" s="34"/>
      <c r="C57" s="21"/>
      <c r="D57" s="24"/>
      <c r="E57" s="24"/>
      <c r="F57" s="25"/>
      <c r="G57" s="57">
        <f t="shared" si="2"/>
        <v>0</v>
      </c>
      <c r="H57" s="58">
        <f t="shared" si="3"/>
        <v>9608.7800000000007</v>
      </c>
    </row>
    <row r="58" spans="1:8" ht="22.5" customHeight="1">
      <c r="A58" s="23"/>
      <c r="B58" s="34"/>
      <c r="C58" s="21"/>
      <c r="D58" s="24"/>
      <c r="E58" s="24"/>
      <c r="F58" s="25"/>
      <c r="G58" s="57">
        <f t="shared" si="2"/>
        <v>0</v>
      </c>
      <c r="H58" s="58">
        <f t="shared" si="3"/>
        <v>9608.7800000000007</v>
      </c>
    </row>
    <row r="59" spans="1:8" ht="22.5" customHeight="1">
      <c r="A59" s="23"/>
      <c r="B59" s="34"/>
      <c r="C59" s="21"/>
      <c r="D59" s="24"/>
      <c r="E59" s="24"/>
      <c r="F59" s="25"/>
      <c r="G59" s="57">
        <f t="shared" si="2"/>
        <v>0</v>
      </c>
      <c r="H59" s="58">
        <f t="shared" si="3"/>
        <v>9608.7800000000007</v>
      </c>
    </row>
    <row r="60" spans="1:8" ht="22.5" customHeight="1">
      <c r="A60" s="23"/>
      <c r="B60" s="34"/>
      <c r="C60" s="21"/>
      <c r="D60" s="24"/>
      <c r="E60" s="24"/>
      <c r="F60" s="25"/>
      <c r="G60" s="57">
        <f t="shared" si="2"/>
        <v>0</v>
      </c>
      <c r="H60" s="58">
        <f t="shared" si="3"/>
        <v>9608.7800000000007</v>
      </c>
    </row>
    <row r="61" spans="1:8" ht="22.5" customHeight="1">
      <c r="A61" s="23"/>
      <c r="B61" s="34"/>
      <c r="C61" s="21"/>
      <c r="D61" s="24"/>
      <c r="E61" s="24"/>
      <c r="F61" s="25"/>
      <c r="G61" s="57">
        <f t="shared" si="2"/>
        <v>0</v>
      </c>
      <c r="H61" s="58">
        <f t="shared" si="3"/>
        <v>9608.7800000000007</v>
      </c>
    </row>
    <row r="62" spans="1:8" ht="22.5" customHeight="1">
      <c r="A62" s="23"/>
      <c r="B62" s="34"/>
      <c r="C62" s="21"/>
      <c r="D62" s="24"/>
      <c r="E62" s="24"/>
      <c r="F62" s="25"/>
      <c r="G62" s="57">
        <f t="shared" si="2"/>
        <v>0</v>
      </c>
      <c r="H62" s="58">
        <f t="shared" si="3"/>
        <v>9608.7800000000007</v>
      </c>
    </row>
    <row r="63" spans="1:8" ht="22.5" customHeight="1">
      <c r="A63" s="23"/>
      <c r="B63" s="34"/>
      <c r="C63" s="21"/>
      <c r="D63" s="24"/>
      <c r="E63" s="24"/>
      <c r="F63" s="25"/>
      <c r="G63" s="57">
        <f t="shared" si="2"/>
        <v>0</v>
      </c>
      <c r="H63" s="58">
        <f t="shared" si="3"/>
        <v>9608.7800000000007</v>
      </c>
    </row>
    <row r="64" spans="1:8" ht="22.5" customHeight="1">
      <c r="A64" s="23"/>
      <c r="B64" s="34"/>
      <c r="C64" s="21"/>
      <c r="D64" s="24"/>
      <c r="E64" s="24"/>
      <c r="F64" s="25"/>
      <c r="G64" s="57">
        <f t="shared" si="2"/>
        <v>0</v>
      </c>
      <c r="H64" s="58">
        <f t="shared" si="3"/>
        <v>9608.7800000000007</v>
      </c>
    </row>
    <row r="65" spans="1:8" ht="22.5" customHeight="1">
      <c r="A65" s="23"/>
      <c r="B65" s="34"/>
      <c r="C65" s="21"/>
      <c r="D65" s="24"/>
      <c r="E65" s="24"/>
      <c r="F65" s="25"/>
      <c r="G65" s="57">
        <f t="shared" si="2"/>
        <v>0</v>
      </c>
      <c r="H65" s="58">
        <f t="shared" si="3"/>
        <v>9608.7800000000007</v>
      </c>
    </row>
    <row r="66" spans="1:8" ht="22.5" customHeight="1">
      <c r="A66" s="23"/>
      <c r="B66" s="34"/>
      <c r="C66" s="21"/>
      <c r="D66" s="24"/>
      <c r="E66" s="24"/>
      <c r="F66" s="25"/>
      <c r="G66" s="57">
        <f t="shared" si="2"/>
        <v>0</v>
      </c>
      <c r="H66" s="58">
        <f t="shared" si="3"/>
        <v>9608.7800000000007</v>
      </c>
    </row>
    <row r="67" spans="1:8" ht="22.5" customHeight="1">
      <c r="A67" s="23"/>
      <c r="B67" s="34"/>
      <c r="C67" s="21"/>
      <c r="D67" s="24"/>
      <c r="E67" s="24"/>
      <c r="F67" s="25"/>
      <c r="G67" s="57">
        <f t="shared" si="2"/>
        <v>0</v>
      </c>
      <c r="H67" s="58">
        <f t="shared" si="3"/>
        <v>9608.7800000000007</v>
      </c>
    </row>
    <row r="68" spans="1:8" ht="22.5" customHeight="1">
      <c r="A68" s="23"/>
      <c r="B68" s="34"/>
      <c r="C68" s="21"/>
      <c r="D68" s="24"/>
      <c r="E68" s="24"/>
      <c r="F68" s="25"/>
      <c r="G68" s="57">
        <f t="shared" si="2"/>
        <v>0</v>
      </c>
      <c r="H68" s="58">
        <f t="shared" si="3"/>
        <v>9608.7800000000007</v>
      </c>
    </row>
    <row r="69" spans="1:8" ht="22.5" customHeight="1">
      <c r="A69" s="23"/>
      <c r="B69" s="34"/>
      <c r="C69" s="21"/>
      <c r="D69" s="24"/>
      <c r="E69" s="24"/>
      <c r="F69" s="25"/>
      <c r="G69" s="57">
        <f t="shared" si="2"/>
        <v>0</v>
      </c>
      <c r="H69" s="58">
        <f t="shared" si="3"/>
        <v>9608.7800000000007</v>
      </c>
    </row>
    <row r="70" spans="1:8" ht="22.5" customHeight="1">
      <c r="A70" s="23"/>
      <c r="B70" s="34"/>
      <c r="C70" s="21"/>
      <c r="D70" s="24"/>
      <c r="E70" s="24"/>
      <c r="F70" s="25"/>
      <c r="G70" s="57">
        <f t="shared" si="2"/>
        <v>0</v>
      </c>
      <c r="H70" s="58">
        <f t="shared" si="3"/>
        <v>9608.7800000000007</v>
      </c>
    </row>
    <row r="71" spans="1:8" ht="22.5" customHeight="1">
      <c r="A71" s="23"/>
      <c r="B71" s="34"/>
      <c r="C71" s="21"/>
      <c r="D71" s="24"/>
      <c r="E71" s="24"/>
      <c r="F71" s="25"/>
      <c r="G71" s="57">
        <f t="shared" ref="G71:G102" si="4">IF(A71="Despesas",E71*-1,IF(A71="Receitas",E71,0))</f>
        <v>0</v>
      </c>
      <c r="H71" s="58">
        <f t="shared" ref="H71:H102" si="5">H70+G71</f>
        <v>9608.7800000000007</v>
      </c>
    </row>
    <row r="72" spans="1:8" ht="22.5" customHeight="1">
      <c r="A72" s="23"/>
      <c r="B72" s="34"/>
      <c r="C72" s="21"/>
      <c r="D72" s="24"/>
      <c r="E72" s="24"/>
      <c r="F72" s="25"/>
      <c r="G72" s="57">
        <f t="shared" si="4"/>
        <v>0</v>
      </c>
      <c r="H72" s="58">
        <f t="shared" si="5"/>
        <v>9608.7800000000007</v>
      </c>
    </row>
    <row r="73" spans="1:8" ht="22.5" customHeight="1">
      <c r="A73" s="23"/>
      <c r="B73" s="34"/>
      <c r="C73" s="21"/>
      <c r="D73" s="24"/>
      <c r="E73" s="24"/>
      <c r="F73" s="25"/>
      <c r="G73" s="57">
        <f t="shared" si="4"/>
        <v>0</v>
      </c>
      <c r="H73" s="58">
        <f t="shared" si="5"/>
        <v>9608.7800000000007</v>
      </c>
    </row>
    <row r="74" spans="1:8" ht="22.5" customHeight="1">
      <c r="A74" s="23"/>
      <c r="B74" s="34"/>
      <c r="C74" s="21"/>
      <c r="D74" s="24"/>
      <c r="E74" s="24"/>
      <c r="F74" s="25"/>
      <c r="G74" s="57">
        <f t="shared" si="4"/>
        <v>0</v>
      </c>
      <c r="H74" s="58">
        <f t="shared" si="5"/>
        <v>9608.7800000000007</v>
      </c>
    </row>
    <row r="75" spans="1:8" ht="22.5" customHeight="1">
      <c r="A75" s="23"/>
      <c r="B75" s="34"/>
      <c r="C75" s="21"/>
      <c r="D75" s="24"/>
      <c r="E75" s="24"/>
      <c r="F75" s="25"/>
      <c r="G75" s="57">
        <f t="shared" si="4"/>
        <v>0</v>
      </c>
      <c r="H75" s="58">
        <f t="shared" si="5"/>
        <v>9608.7800000000007</v>
      </c>
    </row>
    <row r="76" spans="1:8" ht="22.5" customHeight="1">
      <c r="A76" s="23"/>
      <c r="B76" s="34"/>
      <c r="C76" s="21"/>
      <c r="D76" s="24"/>
      <c r="E76" s="24"/>
      <c r="F76" s="25"/>
      <c r="G76" s="57">
        <f t="shared" si="4"/>
        <v>0</v>
      </c>
      <c r="H76" s="58">
        <f t="shared" si="5"/>
        <v>9608.7800000000007</v>
      </c>
    </row>
    <row r="77" spans="1:8" ht="22.5" customHeight="1">
      <c r="A77" s="23"/>
      <c r="B77" s="34"/>
      <c r="C77" s="21"/>
      <c r="D77" s="24"/>
      <c r="E77" s="24"/>
      <c r="F77" s="25"/>
      <c r="G77" s="57">
        <f t="shared" si="4"/>
        <v>0</v>
      </c>
      <c r="H77" s="58">
        <f t="shared" si="5"/>
        <v>9608.7800000000007</v>
      </c>
    </row>
    <row r="78" spans="1:8" ht="22.5" customHeight="1">
      <c r="A78" s="23"/>
      <c r="B78" s="34"/>
      <c r="C78" s="21"/>
      <c r="D78" s="24"/>
      <c r="E78" s="24"/>
      <c r="F78" s="25"/>
      <c r="G78" s="57">
        <f t="shared" si="4"/>
        <v>0</v>
      </c>
      <c r="H78" s="58">
        <f t="shared" si="5"/>
        <v>9608.7800000000007</v>
      </c>
    </row>
    <row r="79" spans="1:8" ht="22.5" customHeight="1">
      <c r="A79" s="23"/>
      <c r="B79" s="34"/>
      <c r="C79" s="21"/>
      <c r="D79" s="24"/>
      <c r="E79" s="24"/>
      <c r="F79" s="25"/>
      <c r="G79" s="57">
        <f t="shared" si="4"/>
        <v>0</v>
      </c>
      <c r="H79" s="58">
        <f t="shared" si="5"/>
        <v>9608.7800000000007</v>
      </c>
    </row>
    <row r="80" spans="1:8" ht="22.5" customHeight="1">
      <c r="A80" s="23"/>
      <c r="B80" s="34"/>
      <c r="C80" s="21"/>
      <c r="D80" s="24"/>
      <c r="E80" s="24"/>
      <c r="F80" s="25"/>
      <c r="G80" s="57">
        <f t="shared" si="4"/>
        <v>0</v>
      </c>
      <c r="H80" s="58">
        <f t="shared" si="5"/>
        <v>9608.7800000000007</v>
      </c>
    </row>
    <row r="81" spans="1:8" ht="22.5" customHeight="1">
      <c r="A81" s="23"/>
      <c r="B81" s="34"/>
      <c r="C81" s="21"/>
      <c r="D81" s="24"/>
      <c r="E81" s="24"/>
      <c r="F81" s="25"/>
      <c r="G81" s="57">
        <f t="shared" si="4"/>
        <v>0</v>
      </c>
      <c r="H81" s="58">
        <f t="shared" si="5"/>
        <v>9608.7800000000007</v>
      </c>
    </row>
    <row r="82" spans="1:8" ht="22.5" customHeight="1">
      <c r="A82" s="23"/>
      <c r="B82" s="34"/>
      <c r="C82" s="21"/>
      <c r="D82" s="24"/>
      <c r="E82" s="24"/>
      <c r="F82" s="25"/>
      <c r="G82" s="57">
        <f t="shared" si="4"/>
        <v>0</v>
      </c>
      <c r="H82" s="58">
        <f t="shared" si="5"/>
        <v>9608.7800000000007</v>
      </c>
    </row>
    <row r="83" spans="1:8" ht="22.5" customHeight="1">
      <c r="A83" s="23"/>
      <c r="B83" s="34"/>
      <c r="C83" s="21"/>
      <c r="D83" s="24"/>
      <c r="E83" s="24"/>
      <c r="F83" s="25"/>
      <c r="G83" s="57">
        <f t="shared" si="4"/>
        <v>0</v>
      </c>
      <c r="H83" s="58">
        <f t="shared" si="5"/>
        <v>9608.7800000000007</v>
      </c>
    </row>
    <row r="84" spans="1:8" ht="22.5" customHeight="1">
      <c r="A84" s="23"/>
      <c r="B84" s="34"/>
      <c r="C84" s="21"/>
      <c r="D84" s="24"/>
      <c r="E84" s="24"/>
      <c r="F84" s="25"/>
      <c r="G84" s="57">
        <f t="shared" si="4"/>
        <v>0</v>
      </c>
      <c r="H84" s="58">
        <f t="shared" si="5"/>
        <v>9608.7800000000007</v>
      </c>
    </row>
    <row r="85" spans="1:8" ht="22.5" customHeight="1">
      <c r="A85" s="23"/>
      <c r="B85" s="34"/>
      <c r="C85" s="21"/>
      <c r="D85" s="24"/>
      <c r="E85" s="24"/>
      <c r="F85" s="25"/>
      <c r="G85" s="57">
        <f t="shared" si="4"/>
        <v>0</v>
      </c>
      <c r="H85" s="58">
        <f t="shared" si="5"/>
        <v>9608.7800000000007</v>
      </c>
    </row>
    <row r="86" spans="1:8" ht="22.5" customHeight="1">
      <c r="A86" s="23"/>
      <c r="B86" s="34"/>
      <c r="C86" s="21"/>
      <c r="D86" s="24"/>
      <c r="E86" s="24"/>
      <c r="F86" s="25"/>
      <c r="G86" s="57">
        <f t="shared" si="4"/>
        <v>0</v>
      </c>
      <c r="H86" s="58">
        <f t="shared" si="5"/>
        <v>9608.7800000000007</v>
      </c>
    </row>
    <row r="87" spans="1:8" ht="22.5" customHeight="1">
      <c r="A87" s="23"/>
      <c r="B87" s="34"/>
      <c r="C87" s="21"/>
      <c r="D87" s="24"/>
      <c r="E87" s="24"/>
      <c r="F87" s="25"/>
      <c r="G87" s="57">
        <f t="shared" si="4"/>
        <v>0</v>
      </c>
      <c r="H87" s="58">
        <f t="shared" si="5"/>
        <v>9608.7800000000007</v>
      </c>
    </row>
    <row r="88" spans="1:8" ht="22.5" customHeight="1">
      <c r="A88" s="23"/>
      <c r="B88" s="34"/>
      <c r="C88" s="21"/>
      <c r="D88" s="24"/>
      <c r="E88" s="24"/>
      <c r="F88" s="25"/>
      <c r="G88" s="57">
        <f t="shared" si="4"/>
        <v>0</v>
      </c>
      <c r="H88" s="58">
        <f t="shared" si="5"/>
        <v>9608.7800000000007</v>
      </c>
    </row>
    <row r="89" spans="1:8" ht="22.5" customHeight="1">
      <c r="A89" s="23"/>
      <c r="B89" s="34"/>
      <c r="C89" s="21"/>
      <c r="D89" s="24"/>
      <c r="E89" s="24"/>
      <c r="F89" s="25"/>
      <c r="G89" s="57">
        <f t="shared" si="4"/>
        <v>0</v>
      </c>
      <c r="H89" s="58">
        <f t="shared" si="5"/>
        <v>9608.7800000000007</v>
      </c>
    </row>
    <row r="90" spans="1:8" ht="22.5" customHeight="1">
      <c r="A90" s="23"/>
      <c r="B90" s="34"/>
      <c r="C90" s="21"/>
      <c r="D90" s="24"/>
      <c r="E90" s="24"/>
      <c r="F90" s="25"/>
      <c r="G90" s="57">
        <f t="shared" si="4"/>
        <v>0</v>
      </c>
      <c r="H90" s="58">
        <f t="shared" si="5"/>
        <v>9608.7800000000007</v>
      </c>
    </row>
    <row r="91" spans="1:8" ht="22.5" customHeight="1">
      <c r="A91" s="23"/>
      <c r="B91" s="34"/>
      <c r="C91" s="21"/>
      <c r="D91" s="24"/>
      <c r="E91" s="24"/>
      <c r="F91" s="25"/>
      <c r="G91" s="57">
        <f t="shared" si="4"/>
        <v>0</v>
      </c>
      <c r="H91" s="58">
        <f t="shared" si="5"/>
        <v>9608.7800000000007</v>
      </c>
    </row>
    <row r="92" spans="1:8" ht="22.5" customHeight="1">
      <c r="A92" s="23"/>
      <c r="B92" s="34"/>
      <c r="C92" s="21"/>
      <c r="D92" s="24"/>
      <c r="E92" s="24"/>
      <c r="F92" s="25"/>
      <c r="G92" s="57">
        <f t="shared" si="4"/>
        <v>0</v>
      </c>
      <c r="H92" s="58">
        <f t="shared" si="5"/>
        <v>9608.7800000000007</v>
      </c>
    </row>
    <row r="93" spans="1:8" ht="22.5" customHeight="1">
      <c r="A93" s="23"/>
      <c r="B93" s="34"/>
      <c r="C93" s="21"/>
      <c r="D93" s="24"/>
      <c r="E93" s="24"/>
      <c r="F93" s="25"/>
      <c r="G93" s="57">
        <f t="shared" si="4"/>
        <v>0</v>
      </c>
      <c r="H93" s="58">
        <f t="shared" si="5"/>
        <v>9608.7800000000007</v>
      </c>
    </row>
    <row r="94" spans="1:8" ht="22.5" customHeight="1">
      <c r="A94" s="23"/>
      <c r="B94" s="34"/>
      <c r="C94" s="21"/>
      <c r="D94" s="24"/>
      <c r="E94" s="24"/>
      <c r="F94" s="25"/>
      <c r="G94" s="57">
        <f t="shared" si="4"/>
        <v>0</v>
      </c>
      <c r="H94" s="58">
        <f t="shared" si="5"/>
        <v>9608.7800000000007</v>
      </c>
    </row>
    <row r="95" spans="1:8" ht="22.5" customHeight="1">
      <c r="A95" s="23"/>
      <c r="B95" s="34"/>
      <c r="C95" s="21"/>
      <c r="D95" s="24"/>
      <c r="E95" s="24"/>
      <c r="F95" s="25"/>
      <c r="G95" s="57">
        <f t="shared" si="4"/>
        <v>0</v>
      </c>
      <c r="H95" s="58">
        <f t="shared" si="5"/>
        <v>9608.7800000000007</v>
      </c>
    </row>
    <row r="96" spans="1:8" ht="22.5" customHeight="1">
      <c r="A96" s="23"/>
      <c r="B96" s="34"/>
      <c r="C96" s="21"/>
      <c r="D96" s="24"/>
      <c r="E96" s="24"/>
      <c r="F96" s="25"/>
      <c r="G96" s="57">
        <f t="shared" si="4"/>
        <v>0</v>
      </c>
      <c r="H96" s="58">
        <f t="shared" si="5"/>
        <v>9608.7800000000007</v>
      </c>
    </row>
    <row r="97" spans="1:8" ht="22.5" customHeight="1">
      <c r="A97" s="23"/>
      <c r="B97" s="34"/>
      <c r="C97" s="21"/>
      <c r="D97" s="24"/>
      <c r="E97" s="24"/>
      <c r="F97" s="25"/>
      <c r="G97" s="57">
        <f t="shared" si="4"/>
        <v>0</v>
      </c>
      <c r="H97" s="58">
        <f t="shared" si="5"/>
        <v>9608.7800000000007</v>
      </c>
    </row>
    <row r="98" spans="1:8" ht="22.5" customHeight="1">
      <c r="A98" s="23"/>
      <c r="B98" s="34"/>
      <c r="C98" s="21"/>
      <c r="D98" s="24"/>
      <c r="E98" s="24"/>
      <c r="F98" s="25"/>
      <c r="G98" s="57">
        <f t="shared" si="4"/>
        <v>0</v>
      </c>
      <c r="H98" s="58">
        <f t="shared" si="5"/>
        <v>9608.7800000000007</v>
      </c>
    </row>
    <row r="99" spans="1:8" ht="22.5" customHeight="1">
      <c r="A99" s="23"/>
      <c r="B99" s="34"/>
      <c r="C99" s="21"/>
      <c r="D99" s="24"/>
      <c r="E99" s="24"/>
      <c r="F99" s="25"/>
      <c r="G99" s="57">
        <f t="shared" si="4"/>
        <v>0</v>
      </c>
      <c r="H99" s="58">
        <f t="shared" si="5"/>
        <v>9608.7800000000007</v>
      </c>
    </row>
    <row r="100" spans="1:8" ht="22.5" customHeight="1">
      <c r="A100" s="23"/>
      <c r="B100" s="34"/>
      <c r="C100" s="21"/>
      <c r="D100" s="24"/>
      <c r="E100" s="24"/>
      <c r="F100" s="25"/>
      <c r="G100" s="57">
        <f t="shared" si="4"/>
        <v>0</v>
      </c>
      <c r="H100" s="58">
        <f t="shared" si="5"/>
        <v>9608.7800000000007</v>
      </c>
    </row>
    <row r="101" spans="1:8" ht="22.5" customHeight="1">
      <c r="A101" s="23"/>
      <c r="B101" s="34"/>
      <c r="C101" s="21"/>
      <c r="D101" s="24"/>
      <c r="E101" s="24"/>
      <c r="F101" s="25"/>
      <c r="G101" s="57">
        <f t="shared" si="4"/>
        <v>0</v>
      </c>
      <c r="H101" s="58">
        <f t="shared" si="5"/>
        <v>9608.7800000000007</v>
      </c>
    </row>
    <row r="102" spans="1:8" ht="22.5" customHeight="1">
      <c r="A102" s="23"/>
      <c r="B102" s="34"/>
      <c r="C102" s="21"/>
      <c r="D102" s="24"/>
      <c r="E102" s="24"/>
      <c r="F102" s="25"/>
      <c r="G102" s="57">
        <f t="shared" si="4"/>
        <v>0</v>
      </c>
      <c r="H102" s="58">
        <f t="shared" si="5"/>
        <v>9608.7800000000007</v>
      </c>
    </row>
    <row r="103" spans="1:8" ht="22.5" customHeight="1">
      <c r="A103" s="23"/>
      <c r="B103" s="34"/>
      <c r="C103" s="21"/>
      <c r="D103" s="24"/>
      <c r="E103" s="24"/>
      <c r="F103" s="25"/>
      <c r="G103" s="57">
        <f t="shared" ref="G103:G134" si="6">IF(A103="Despesas",E103*-1,IF(A103="Receitas",E103,0))</f>
        <v>0</v>
      </c>
      <c r="H103" s="58">
        <f t="shared" ref="H103:H134" si="7">H102+G103</f>
        <v>9608.7800000000007</v>
      </c>
    </row>
    <row r="104" spans="1:8" ht="22.5" customHeight="1">
      <c r="A104" s="23"/>
      <c r="B104" s="34"/>
      <c r="C104" s="21"/>
      <c r="D104" s="24"/>
      <c r="E104" s="24"/>
      <c r="F104" s="25"/>
      <c r="G104" s="57">
        <f t="shared" si="6"/>
        <v>0</v>
      </c>
      <c r="H104" s="58">
        <f t="shared" si="7"/>
        <v>9608.7800000000007</v>
      </c>
    </row>
    <row r="105" spans="1:8" ht="22.5" customHeight="1">
      <c r="A105" s="23"/>
      <c r="B105" s="34"/>
      <c r="C105" s="21"/>
      <c r="D105" s="24"/>
      <c r="E105" s="24"/>
      <c r="F105" s="25"/>
      <c r="G105" s="57">
        <f t="shared" si="6"/>
        <v>0</v>
      </c>
      <c r="H105" s="58">
        <f t="shared" si="7"/>
        <v>9608.7800000000007</v>
      </c>
    </row>
    <row r="106" spans="1:8" ht="22.5" customHeight="1">
      <c r="A106" s="23"/>
      <c r="B106" s="34"/>
      <c r="C106" s="21"/>
      <c r="D106" s="24"/>
      <c r="E106" s="24"/>
      <c r="F106" s="25"/>
      <c r="G106" s="57">
        <f t="shared" si="6"/>
        <v>0</v>
      </c>
      <c r="H106" s="58">
        <f t="shared" si="7"/>
        <v>9608.7800000000007</v>
      </c>
    </row>
    <row r="107" spans="1:8" ht="22.5" customHeight="1">
      <c r="A107" s="23"/>
      <c r="B107" s="34"/>
      <c r="C107" s="21"/>
      <c r="D107" s="24"/>
      <c r="E107" s="24"/>
      <c r="F107" s="25"/>
      <c r="G107" s="57">
        <f t="shared" si="6"/>
        <v>0</v>
      </c>
      <c r="H107" s="58">
        <f t="shared" si="7"/>
        <v>9608.7800000000007</v>
      </c>
    </row>
    <row r="108" spans="1:8" ht="22.5" customHeight="1">
      <c r="A108" s="23"/>
      <c r="B108" s="34"/>
      <c r="C108" s="21"/>
      <c r="D108" s="24"/>
      <c r="E108" s="24"/>
      <c r="F108" s="25"/>
      <c r="G108" s="57">
        <f t="shared" si="6"/>
        <v>0</v>
      </c>
      <c r="H108" s="58">
        <f t="shared" si="7"/>
        <v>9608.7800000000007</v>
      </c>
    </row>
    <row r="109" spans="1:8" ht="22.5" customHeight="1">
      <c r="A109" s="23"/>
      <c r="B109" s="34"/>
      <c r="C109" s="21"/>
      <c r="D109" s="24"/>
      <c r="E109" s="24"/>
      <c r="F109" s="25"/>
      <c r="G109" s="57">
        <f t="shared" si="6"/>
        <v>0</v>
      </c>
      <c r="H109" s="58">
        <f t="shared" si="7"/>
        <v>9608.7800000000007</v>
      </c>
    </row>
    <row r="110" spans="1:8" ht="22.5" customHeight="1">
      <c r="A110" s="23"/>
      <c r="B110" s="34"/>
      <c r="C110" s="21"/>
      <c r="D110" s="24"/>
      <c r="E110" s="24"/>
      <c r="F110" s="25"/>
      <c r="G110" s="57">
        <f t="shared" si="6"/>
        <v>0</v>
      </c>
      <c r="H110" s="58">
        <f t="shared" si="7"/>
        <v>9608.7800000000007</v>
      </c>
    </row>
    <row r="111" spans="1:8" ht="22.5" customHeight="1">
      <c r="A111" s="23"/>
      <c r="B111" s="34"/>
      <c r="C111" s="21"/>
      <c r="D111" s="24"/>
      <c r="E111" s="24"/>
      <c r="F111" s="25"/>
      <c r="G111" s="57">
        <f t="shared" si="6"/>
        <v>0</v>
      </c>
      <c r="H111" s="58">
        <f t="shared" si="7"/>
        <v>9608.7800000000007</v>
      </c>
    </row>
    <row r="112" spans="1:8" ht="22.5" customHeight="1">
      <c r="A112" s="23"/>
      <c r="B112" s="34"/>
      <c r="C112" s="21"/>
      <c r="D112" s="24"/>
      <c r="E112" s="24"/>
      <c r="F112" s="25"/>
      <c r="G112" s="57">
        <f t="shared" si="6"/>
        <v>0</v>
      </c>
      <c r="H112" s="58">
        <f t="shared" si="7"/>
        <v>9608.7800000000007</v>
      </c>
    </row>
    <row r="113" spans="1:8" ht="22.5" customHeight="1">
      <c r="A113" s="23"/>
      <c r="B113" s="34"/>
      <c r="C113" s="21"/>
      <c r="D113" s="24"/>
      <c r="E113" s="24"/>
      <c r="F113" s="25"/>
      <c r="G113" s="57">
        <f t="shared" si="6"/>
        <v>0</v>
      </c>
      <c r="H113" s="58">
        <f t="shared" si="7"/>
        <v>9608.7800000000007</v>
      </c>
    </row>
    <row r="114" spans="1:8" ht="22.5" customHeight="1">
      <c r="A114" s="23"/>
      <c r="B114" s="34"/>
      <c r="C114" s="21"/>
      <c r="D114" s="24"/>
      <c r="E114" s="24"/>
      <c r="F114" s="25"/>
      <c r="G114" s="57">
        <f t="shared" si="6"/>
        <v>0</v>
      </c>
      <c r="H114" s="58">
        <f t="shared" si="7"/>
        <v>9608.7800000000007</v>
      </c>
    </row>
    <row r="115" spans="1:8" ht="22.5" customHeight="1">
      <c r="A115" s="23"/>
      <c r="B115" s="34"/>
      <c r="C115" s="21"/>
      <c r="D115" s="24"/>
      <c r="E115" s="24"/>
      <c r="F115" s="25"/>
      <c r="G115" s="57">
        <f t="shared" si="6"/>
        <v>0</v>
      </c>
      <c r="H115" s="58">
        <f t="shared" si="7"/>
        <v>9608.7800000000007</v>
      </c>
    </row>
    <row r="116" spans="1:8" ht="22.5" customHeight="1">
      <c r="A116" s="23"/>
      <c r="B116" s="34"/>
      <c r="C116" s="21"/>
      <c r="D116" s="24"/>
      <c r="E116" s="24"/>
      <c r="F116" s="25"/>
      <c r="G116" s="57">
        <f t="shared" si="6"/>
        <v>0</v>
      </c>
      <c r="H116" s="58">
        <f t="shared" si="7"/>
        <v>9608.7800000000007</v>
      </c>
    </row>
    <row r="117" spans="1:8" ht="22.5" customHeight="1">
      <c r="A117" s="23"/>
      <c r="B117" s="34"/>
      <c r="C117" s="21"/>
      <c r="D117" s="24"/>
      <c r="E117" s="24"/>
      <c r="F117" s="25"/>
      <c r="G117" s="57">
        <f t="shared" si="6"/>
        <v>0</v>
      </c>
      <c r="H117" s="58">
        <f t="shared" si="7"/>
        <v>9608.7800000000007</v>
      </c>
    </row>
    <row r="118" spans="1:8" ht="22.5" customHeight="1">
      <c r="A118" s="23"/>
      <c r="B118" s="34"/>
      <c r="C118" s="21"/>
      <c r="D118" s="24"/>
      <c r="E118" s="24"/>
      <c r="F118" s="25"/>
      <c r="G118" s="57">
        <f t="shared" si="6"/>
        <v>0</v>
      </c>
      <c r="H118" s="58">
        <f t="shared" si="7"/>
        <v>9608.7800000000007</v>
      </c>
    </row>
    <row r="119" spans="1:8" ht="22.5" customHeight="1">
      <c r="A119" s="23"/>
      <c r="B119" s="34"/>
      <c r="C119" s="21"/>
      <c r="D119" s="24"/>
      <c r="E119" s="24"/>
      <c r="F119" s="25"/>
      <c r="G119" s="57">
        <f t="shared" si="6"/>
        <v>0</v>
      </c>
      <c r="H119" s="58">
        <f t="shared" si="7"/>
        <v>9608.7800000000007</v>
      </c>
    </row>
    <row r="120" spans="1:8" ht="22.5" customHeight="1">
      <c r="A120" s="23"/>
      <c r="B120" s="34"/>
      <c r="C120" s="21"/>
      <c r="D120" s="24"/>
      <c r="E120" s="24"/>
      <c r="F120" s="25"/>
      <c r="G120" s="57">
        <f t="shared" si="6"/>
        <v>0</v>
      </c>
      <c r="H120" s="58">
        <f t="shared" si="7"/>
        <v>9608.7800000000007</v>
      </c>
    </row>
    <row r="121" spans="1:8" ht="22.5" customHeight="1">
      <c r="A121" s="23"/>
      <c r="B121" s="34"/>
      <c r="C121" s="21"/>
      <c r="D121" s="24"/>
      <c r="E121" s="24"/>
      <c r="F121" s="25"/>
      <c r="G121" s="57">
        <f t="shared" si="6"/>
        <v>0</v>
      </c>
      <c r="H121" s="58">
        <f t="shared" si="7"/>
        <v>9608.7800000000007</v>
      </c>
    </row>
    <row r="122" spans="1:8" ht="22.5" customHeight="1">
      <c r="A122" s="23"/>
      <c r="B122" s="34"/>
      <c r="C122" s="21"/>
      <c r="D122" s="24"/>
      <c r="E122" s="24"/>
      <c r="F122" s="25"/>
      <c r="G122" s="57">
        <f t="shared" si="6"/>
        <v>0</v>
      </c>
      <c r="H122" s="58">
        <f t="shared" si="7"/>
        <v>9608.7800000000007</v>
      </c>
    </row>
    <row r="123" spans="1:8" ht="22.5" customHeight="1">
      <c r="A123" s="23"/>
      <c r="B123" s="34"/>
      <c r="C123" s="21"/>
      <c r="D123" s="24"/>
      <c r="E123" s="24"/>
      <c r="F123" s="25"/>
      <c r="G123" s="57">
        <f t="shared" si="6"/>
        <v>0</v>
      </c>
      <c r="H123" s="58">
        <f t="shared" si="7"/>
        <v>9608.7800000000007</v>
      </c>
    </row>
    <row r="124" spans="1:8" ht="22.5" customHeight="1">
      <c r="A124" s="23"/>
      <c r="B124" s="34"/>
      <c r="C124" s="21"/>
      <c r="D124" s="24"/>
      <c r="E124" s="24"/>
      <c r="F124" s="25"/>
      <c r="G124" s="57">
        <f t="shared" si="6"/>
        <v>0</v>
      </c>
      <c r="H124" s="58">
        <f t="shared" si="7"/>
        <v>9608.7800000000007</v>
      </c>
    </row>
    <row r="125" spans="1:8" ht="22.5" customHeight="1">
      <c r="A125" s="23"/>
      <c r="B125" s="34"/>
      <c r="C125" s="21"/>
      <c r="D125" s="24"/>
      <c r="E125" s="24"/>
      <c r="F125" s="25"/>
      <c r="G125" s="57">
        <f t="shared" si="6"/>
        <v>0</v>
      </c>
      <c r="H125" s="58">
        <f t="shared" si="7"/>
        <v>9608.7800000000007</v>
      </c>
    </row>
    <row r="126" spans="1:8" ht="22.5" customHeight="1">
      <c r="A126" s="23"/>
      <c r="B126" s="34"/>
      <c r="C126" s="21"/>
      <c r="D126" s="24"/>
      <c r="E126" s="24"/>
      <c r="F126" s="25"/>
      <c r="G126" s="57">
        <f t="shared" si="6"/>
        <v>0</v>
      </c>
      <c r="H126" s="58">
        <f t="shared" si="7"/>
        <v>9608.7800000000007</v>
      </c>
    </row>
    <row r="127" spans="1:8" ht="22.5" customHeight="1">
      <c r="A127" s="23"/>
      <c r="B127" s="34"/>
      <c r="C127" s="21"/>
      <c r="D127" s="24"/>
      <c r="E127" s="24"/>
      <c r="F127" s="25"/>
      <c r="G127" s="57">
        <f t="shared" si="6"/>
        <v>0</v>
      </c>
      <c r="H127" s="58">
        <f t="shared" si="7"/>
        <v>9608.7800000000007</v>
      </c>
    </row>
    <row r="128" spans="1:8" ht="22.5" customHeight="1">
      <c r="A128" s="23"/>
      <c r="B128" s="34"/>
      <c r="C128" s="21"/>
      <c r="D128" s="24"/>
      <c r="E128" s="24"/>
      <c r="F128" s="25"/>
      <c r="G128" s="57">
        <f t="shared" si="6"/>
        <v>0</v>
      </c>
      <c r="H128" s="58">
        <f t="shared" si="7"/>
        <v>9608.7800000000007</v>
      </c>
    </row>
    <row r="129" spans="1:8" ht="22.5" customHeight="1">
      <c r="A129" s="23"/>
      <c r="B129" s="34"/>
      <c r="C129" s="21"/>
      <c r="D129" s="24"/>
      <c r="E129" s="24"/>
      <c r="F129" s="25"/>
      <c r="G129" s="57">
        <f t="shared" si="6"/>
        <v>0</v>
      </c>
      <c r="H129" s="58">
        <f t="shared" si="7"/>
        <v>9608.7800000000007</v>
      </c>
    </row>
    <row r="130" spans="1:8" ht="22.5" customHeight="1">
      <c r="A130" s="23"/>
      <c r="B130" s="34"/>
      <c r="C130" s="21"/>
      <c r="D130" s="24"/>
      <c r="E130" s="24"/>
      <c r="F130" s="25"/>
      <c r="G130" s="57">
        <f t="shared" si="6"/>
        <v>0</v>
      </c>
      <c r="H130" s="58">
        <f t="shared" si="7"/>
        <v>9608.7800000000007</v>
      </c>
    </row>
    <row r="131" spans="1:8" ht="22.5" customHeight="1">
      <c r="A131" s="23"/>
      <c r="B131" s="34"/>
      <c r="C131" s="21"/>
      <c r="D131" s="24"/>
      <c r="E131" s="24"/>
      <c r="F131" s="25"/>
      <c r="G131" s="57">
        <f t="shared" si="6"/>
        <v>0</v>
      </c>
      <c r="H131" s="58">
        <f t="shared" si="7"/>
        <v>9608.7800000000007</v>
      </c>
    </row>
    <row r="132" spans="1:8" ht="22.5" customHeight="1">
      <c r="A132" s="23"/>
      <c r="B132" s="34"/>
      <c r="C132" s="21"/>
      <c r="D132" s="24"/>
      <c r="E132" s="24"/>
      <c r="F132" s="25"/>
      <c r="G132" s="57">
        <f t="shared" si="6"/>
        <v>0</v>
      </c>
      <c r="H132" s="58">
        <f t="shared" si="7"/>
        <v>9608.7800000000007</v>
      </c>
    </row>
    <row r="133" spans="1:8" ht="22.5" customHeight="1">
      <c r="A133" s="23"/>
      <c r="B133" s="34"/>
      <c r="C133" s="21"/>
      <c r="D133" s="24"/>
      <c r="E133" s="24"/>
      <c r="F133" s="25"/>
      <c r="G133" s="57">
        <f t="shared" si="6"/>
        <v>0</v>
      </c>
      <c r="H133" s="58">
        <f t="shared" si="7"/>
        <v>9608.7800000000007</v>
      </c>
    </row>
    <row r="134" spans="1:8" ht="22.5" customHeight="1">
      <c r="A134" s="23"/>
      <c r="B134" s="34"/>
      <c r="C134" s="21"/>
      <c r="D134" s="24"/>
      <c r="E134" s="24"/>
      <c r="F134" s="25"/>
      <c r="G134" s="57">
        <f t="shared" si="6"/>
        <v>0</v>
      </c>
      <c r="H134" s="58">
        <f t="shared" si="7"/>
        <v>9608.7800000000007</v>
      </c>
    </row>
    <row r="135" spans="1:8" ht="22.5" customHeight="1">
      <c r="A135" s="23"/>
      <c r="B135" s="34"/>
      <c r="C135" s="21"/>
      <c r="D135" s="24"/>
      <c r="E135" s="24"/>
      <c r="F135" s="25"/>
      <c r="G135" s="57">
        <f t="shared" ref="G135:G166" si="8">IF(A135="Despesas",E135*-1,IF(A135="Receitas",E135,0))</f>
        <v>0</v>
      </c>
      <c r="H135" s="58">
        <f t="shared" ref="H135:H166" si="9">H134+G135</f>
        <v>9608.7800000000007</v>
      </c>
    </row>
    <row r="136" spans="1:8" ht="22.5" customHeight="1">
      <c r="A136" s="23"/>
      <c r="B136" s="34"/>
      <c r="C136" s="21"/>
      <c r="D136" s="24"/>
      <c r="E136" s="24"/>
      <c r="F136" s="25"/>
      <c r="G136" s="57">
        <f t="shared" si="8"/>
        <v>0</v>
      </c>
      <c r="H136" s="58">
        <f t="shared" si="9"/>
        <v>9608.7800000000007</v>
      </c>
    </row>
    <row r="137" spans="1:8" ht="22.5" customHeight="1">
      <c r="A137" s="23"/>
      <c r="B137" s="34"/>
      <c r="C137" s="21"/>
      <c r="D137" s="24"/>
      <c r="E137" s="24"/>
      <c r="F137" s="25"/>
      <c r="G137" s="57">
        <f t="shared" si="8"/>
        <v>0</v>
      </c>
      <c r="H137" s="58">
        <f t="shared" si="9"/>
        <v>9608.7800000000007</v>
      </c>
    </row>
    <row r="138" spans="1:8" ht="22.5" customHeight="1">
      <c r="A138" s="23"/>
      <c r="B138" s="34"/>
      <c r="C138" s="21"/>
      <c r="D138" s="24"/>
      <c r="E138" s="24"/>
      <c r="F138" s="25"/>
      <c r="G138" s="57">
        <f t="shared" si="8"/>
        <v>0</v>
      </c>
      <c r="H138" s="58">
        <f t="shared" si="9"/>
        <v>9608.7800000000007</v>
      </c>
    </row>
    <row r="139" spans="1:8" ht="22.5" customHeight="1">
      <c r="A139" s="23"/>
      <c r="B139" s="34"/>
      <c r="C139" s="21"/>
      <c r="D139" s="24"/>
      <c r="E139" s="24"/>
      <c r="F139" s="25"/>
      <c r="G139" s="57">
        <f t="shared" si="8"/>
        <v>0</v>
      </c>
      <c r="H139" s="58">
        <f t="shared" si="9"/>
        <v>9608.7800000000007</v>
      </c>
    </row>
    <row r="140" spans="1:8" ht="22.5" customHeight="1">
      <c r="A140" s="23"/>
      <c r="B140" s="34"/>
      <c r="C140" s="21"/>
      <c r="D140" s="24"/>
      <c r="E140" s="24"/>
      <c r="F140" s="25"/>
      <c r="G140" s="57">
        <f t="shared" si="8"/>
        <v>0</v>
      </c>
      <c r="H140" s="58">
        <f t="shared" si="9"/>
        <v>9608.7800000000007</v>
      </c>
    </row>
    <row r="141" spans="1:8" ht="22.5" customHeight="1">
      <c r="A141" s="23"/>
      <c r="B141" s="34"/>
      <c r="C141" s="21"/>
      <c r="D141" s="24"/>
      <c r="E141" s="24"/>
      <c r="F141" s="25"/>
      <c r="G141" s="57">
        <f t="shared" si="8"/>
        <v>0</v>
      </c>
      <c r="H141" s="58">
        <f t="shared" si="9"/>
        <v>9608.7800000000007</v>
      </c>
    </row>
    <row r="142" spans="1:8" ht="22.5" customHeight="1">
      <c r="A142" s="23"/>
      <c r="B142" s="34"/>
      <c r="C142" s="21"/>
      <c r="D142" s="24"/>
      <c r="E142" s="24"/>
      <c r="F142" s="25"/>
      <c r="G142" s="57">
        <f t="shared" si="8"/>
        <v>0</v>
      </c>
      <c r="H142" s="58">
        <f t="shared" si="9"/>
        <v>9608.7800000000007</v>
      </c>
    </row>
    <row r="143" spans="1:8" ht="22.5" customHeight="1">
      <c r="A143" s="23"/>
      <c r="B143" s="34"/>
      <c r="C143" s="21"/>
      <c r="D143" s="24"/>
      <c r="E143" s="24"/>
      <c r="F143" s="25"/>
      <c r="G143" s="57">
        <f t="shared" si="8"/>
        <v>0</v>
      </c>
      <c r="H143" s="58">
        <f t="shared" ref="H143:H206" si="10">H142+G143</f>
        <v>9608.7800000000007</v>
      </c>
    </row>
    <row r="144" spans="1:8" ht="22.5" customHeight="1">
      <c r="A144" s="23"/>
      <c r="B144" s="34"/>
      <c r="C144" s="21"/>
      <c r="D144" s="24"/>
      <c r="E144" s="24"/>
      <c r="F144" s="25"/>
      <c r="G144" s="57">
        <f t="shared" si="8"/>
        <v>0</v>
      </c>
      <c r="H144" s="58">
        <f t="shared" si="10"/>
        <v>9608.7800000000007</v>
      </c>
    </row>
    <row r="145" spans="1:8" ht="22.5" customHeight="1">
      <c r="A145" s="23"/>
      <c r="B145" s="34"/>
      <c r="C145" s="21"/>
      <c r="D145" s="24"/>
      <c r="E145" s="24"/>
      <c r="F145" s="25"/>
      <c r="G145" s="57">
        <f t="shared" si="8"/>
        <v>0</v>
      </c>
      <c r="H145" s="58">
        <f t="shared" si="10"/>
        <v>9608.7800000000007</v>
      </c>
    </row>
    <row r="146" spans="1:8" ht="22.5" customHeight="1">
      <c r="A146" s="23"/>
      <c r="B146" s="34"/>
      <c r="C146" s="21"/>
      <c r="D146" s="24"/>
      <c r="E146" s="24"/>
      <c r="F146" s="25"/>
      <c r="G146" s="57">
        <f t="shared" si="8"/>
        <v>0</v>
      </c>
      <c r="H146" s="58">
        <f t="shared" si="10"/>
        <v>9608.7800000000007</v>
      </c>
    </row>
    <row r="147" spans="1:8" ht="22.5" customHeight="1">
      <c r="A147" s="23"/>
      <c r="B147" s="34"/>
      <c r="C147" s="21"/>
      <c r="D147" s="24"/>
      <c r="E147" s="24"/>
      <c r="F147" s="25"/>
      <c r="G147" s="57">
        <f t="shared" si="8"/>
        <v>0</v>
      </c>
      <c r="H147" s="58">
        <f t="shared" si="10"/>
        <v>9608.7800000000007</v>
      </c>
    </row>
    <row r="148" spans="1:8" ht="22.5" customHeight="1">
      <c r="A148" s="23"/>
      <c r="B148" s="34"/>
      <c r="C148" s="21"/>
      <c r="D148" s="24"/>
      <c r="E148" s="24"/>
      <c r="F148" s="25"/>
      <c r="G148" s="57">
        <f t="shared" si="8"/>
        <v>0</v>
      </c>
      <c r="H148" s="58">
        <f t="shared" si="10"/>
        <v>9608.7800000000007</v>
      </c>
    </row>
    <row r="149" spans="1:8" ht="22.5" customHeight="1">
      <c r="A149" s="23"/>
      <c r="B149" s="34"/>
      <c r="C149" s="21"/>
      <c r="D149" s="24"/>
      <c r="E149" s="24"/>
      <c r="F149" s="25"/>
      <c r="G149" s="57">
        <f t="shared" si="8"/>
        <v>0</v>
      </c>
      <c r="H149" s="58">
        <f t="shared" si="10"/>
        <v>9608.7800000000007</v>
      </c>
    </row>
    <row r="150" spans="1:8" ht="22.5" customHeight="1">
      <c r="A150" s="23"/>
      <c r="B150" s="34"/>
      <c r="C150" s="21"/>
      <c r="D150" s="24"/>
      <c r="E150" s="24"/>
      <c r="F150" s="25"/>
      <c r="G150" s="57">
        <f t="shared" si="8"/>
        <v>0</v>
      </c>
      <c r="H150" s="58">
        <f t="shared" si="10"/>
        <v>9608.7800000000007</v>
      </c>
    </row>
    <row r="151" spans="1:8" ht="22.5" customHeight="1">
      <c r="A151" s="23"/>
      <c r="B151" s="34"/>
      <c r="C151" s="21"/>
      <c r="D151" s="24"/>
      <c r="E151" s="24"/>
      <c r="F151" s="25"/>
      <c r="G151" s="57">
        <f t="shared" si="8"/>
        <v>0</v>
      </c>
      <c r="H151" s="58">
        <f t="shared" si="10"/>
        <v>9608.7800000000007</v>
      </c>
    </row>
    <row r="152" spans="1:8" ht="22.5" customHeight="1">
      <c r="A152" s="23"/>
      <c r="B152" s="34"/>
      <c r="C152" s="21"/>
      <c r="D152" s="24"/>
      <c r="E152" s="24"/>
      <c r="F152" s="25"/>
      <c r="G152" s="57">
        <f t="shared" si="8"/>
        <v>0</v>
      </c>
      <c r="H152" s="58">
        <f t="shared" si="10"/>
        <v>9608.7800000000007</v>
      </c>
    </row>
    <row r="153" spans="1:8" ht="22.5" customHeight="1">
      <c r="A153" s="23"/>
      <c r="B153" s="34"/>
      <c r="C153" s="21"/>
      <c r="D153" s="24"/>
      <c r="E153" s="24"/>
      <c r="F153" s="25"/>
      <c r="G153" s="57">
        <f t="shared" si="8"/>
        <v>0</v>
      </c>
      <c r="H153" s="58">
        <f t="shared" si="10"/>
        <v>9608.7800000000007</v>
      </c>
    </row>
    <row r="154" spans="1:8" ht="22.5" customHeight="1">
      <c r="A154" s="23"/>
      <c r="B154" s="34"/>
      <c r="C154" s="21"/>
      <c r="D154" s="24"/>
      <c r="E154" s="24"/>
      <c r="F154" s="25"/>
      <c r="G154" s="57">
        <f t="shared" si="8"/>
        <v>0</v>
      </c>
      <c r="H154" s="58">
        <f t="shared" si="10"/>
        <v>9608.7800000000007</v>
      </c>
    </row>
    <row r="155" spans="1:8" ht="22.5" customHeight="1">
      <c r="A155" s="23"/>
      <c r="B155" s="34"/>
      <c r="C155" s="21"/>
      <c r="D155" s="24"/>
      <c r="E155" s="24"/>
      <c r="F155" s="25"/>
      <c r="G155" s="57">
        <f t="shared" si="8"/>
        <v>0</v>
      </c>
      <c r="H155" s="58">
        <f t="shared" si="10"/>
        <v>9608.7800000000007</v>
      </c>
    </row>
    <row r="156" spans="1:8" ht="22.5" customHeight="1">
      <c r="A156" s="23"/>
      <c r="B156" s="34"/>
      <c r="C156" s="21"/>
      <c r="D156" s="24"/>
      <c r="E156" s="24"/>
      <c r="F156" s="25"/>
      <c r="G156" s="57">
        <f t="shared" si="8"/>
        <v>0</v>
      </c>
      <c r="H156" s="58">
        <f t="shared" si="10"/>
        <v>9608.7800000000007</v>
      </c>
    </row>
    <row r="157" spans="1:8" ht="22.5" customHeight="1">
      <c r="A157" s="23"/>
      <c r="B157" s="34"/>
      <c r="C157" s="21"/>
      <c r="D157" s="24"/>
      <c r="E157" s="24"/>
      <c r="F157" s="25"/>
      <c r="G157" s="57">
        <f t="shared" si="8"/>
        <v>0</v>
      </c>
      <c r="H157" s="58">
        <f t="shared" si="10"/>
        <v>9608.7800000000007</v>
      </c>
    </row>
    <row r="158" spans="1:8" ht="22.5" customHeight="1">
      <c r="A158" s="23"/>
      <c r="B158" s="34"/>
      <c r="C158" s="21"/>
      <c r="D158" s="24"/>
      <c r="E158" s="24"/>
      <c r="F158" s="25"/>
      <c r="G158" s="57">
        <f t="shared" si="8"/>
        <v>0</v>
      </c>
      <c r="H158" s="58">
        <f t="shared" si="10"/>
        <v>9608.7800000000007</v>
      </c>
    </row>
    <row r="159" spans="1:8" ht="22.5" customHeight="1">
      <c r="A159" s="23"/>
      <c r="B159" s="34"/>
      <c r="C159" s="21"/>
      <c r="D159" s="24"/>
      <c r="E159" s="24"/>
      <c r="F159" s="25"/>
      <c r="G159" s="57">
        <f t="shared" si="8"/>
        <v>0</v>
      </c>
      <c r="H159" s="58">
        <f t="shared" si="10"/>
        <v>9608.7800000000007</v>
      </c>
    </row>
    <row r="160" spans="1:8" ht="22.5" customHeight="1">
      <c r="A160" s="23"/>
      <c r="B160" s="34"/>
      <c r="C160" s="21"/>
      <c r="D160" s="24"/>
      <c r="E160" s="24"/>
      <c r="F160" s="25"/>
      <c r="G160" s="57">
        <f t="shared" si="8"/>
        <v>0</v>
      </c>
      <c r="H160" s="58">
        <f t="shared" si="10"/>
        <v>9608.7800000000007</v>
      </c>
    </row>
    <row r="161" spans="1:8" ht="22.5" customHeight="1">
      <c r="A161" s="23"/>
      <c r="B161" s="34"/>
      <c r="C161" s="21"/>
      <c r="D161" s="24"/>
      <c r="E161" s="24"/>
      <c r="F161" s="25"/>
      <c r="G161" s="57">
        <f t="shared" si="8"/>
        <v>0</v>
      </c>
      <c r="H161" s="58">
        <f t="shared" si="10"/>
        <v>9608.7800000000007</v>
      </c>
    </row>
    <row r="162" spans="1:8" ht="22.5" customHeight="1">
      <c r="A162" s="23"/>
      <c r="B162" s="34"/>
      <c r="C162" s="21"/>
      <c r="D162" s="24"/>
      <c r="E162" s="24"/>
      <c r="F162" s="25"/>
      <c r="G162" s="57">
        <f t="shared" si="8"/>
        <v>0</v>
      </c>
      <c r="H162" s="58">
        <f t="shared" si="10"/>
        <v>9608.7800000000007</v>
      </c>
    </row>
    <row r="163" spans="1:8" ht="22.5" customHeight="1">
      <c r="A163" s="23"/>
      <c r="B163" s="34"/>
      <c r="C163" s="21"/>
      <c r="D163" s="24"/>
      <c r="E163" s="24"/>
      <c r="F163" s="25"/>
      <c r="G163" s="57">
        <f t="shared" si="8"/>
        <v>0</v>
      </c>
      <c r="H163" s="58">
        <f t="shared" si="10"/>
        <v>9608.7800000000007</v>
      </c>
    </row>
    <row r="164" spans="1:8" ht="22.5" customHeight="1">
      <c r="A164" s="23"/>
      <c r="B164" s="34"/>
      <c r="C164" s="21"/>
      <c r="D164" s="24"/>
      <c r="E164" s="24"/>
      <c r="F164" s="25"/>
      <c r="G164" s="57">
        <f t="shared" si="8"/>
        <v>0</v>
      </c>
      <c r="H164" s="58">
        <f t="shared" si="10"/>
        <v>9608.7800000000007</v>
      </c>
    </row>
    <row r="165" spans="1:8" ht="22.5" customHeight="1">
      <c r="A165" s="23"/>
      <c r="B165" s="34"/>
      <c r="C165" s="21"/>
      <c r="D165" s="24"/>
      <c r="E165" s="24"/>
      <c r="F165" s="25"/>
      <c r="G165" s="57">
        <f t="shared" si="8"/>
        <v>0</v>
      </c>
      <c r="H165" s="58">
        <f t="shared" si="10"/>
        <v>9608.7800000000007</v>
      </c>
    </row>
    <row r="166" spans="1:8" ht="22.5" customHeight="1">
      <c r="A166" s="23"/>
      <c r="B166" s="34"/>
      <c r="C166" s="21"/>
      <c r="D166" s="24"/>
      <c r="E166" s="24"/>
      <c r="F166" s="25"/>
      <c r="G166" s="57">
        <f t="shared" si="8"/>
        <v>0</v>
      </c>
      <c r="H166" s="58">
        <f t="shared" si="10"/>
        <v>9608.7800000000007</v>
      </c>
    </row>
    <row r="167" spans="1:8" ht="22.5" customHeight="1">
      <c r="A167" s="23"/>
      <c r="B167" s="34"/>
      <c r="C167" s="21"/>
      <c r="D167" s="24"/>
      <c r="E167" s="24"/>
      <c r="F167" s="25"/>
      <c r="G167" s="57">
        <f t="shared" ref="G167:G198" si="11">IF(A167="Despesas",E167*-1,IF(A167="Receitas",E167,0))</f>
        <v>0</v>
      </c>
      <c r="H167" s="58">
        <f t="shared" si="10"/>
        <v>9608.7800000000007</v>
      </c>
    </row>
    <row r="168" spans="1:8" ht="22.5" customHeight="1">
      <c r="A168" s="23"/>
      <c r="B168" s="34"/>
      <c r="C168" s="21"/>
      <c r="D168" s="24"/>
      <c r="E168" s="24"/>
      <c r="F168" s="25"/>
      <c r="G168" s="57">
        <f t="shared" si="11"/>
        <v>0</v>
      </c>
      <c r="H168" s="58">
        <f t="shared" si="10"/>
        <v>9608.7800000000007</v>
      </c>
    </row>
    <row r="169" spans="1:8" ht="22.5" customHeight="1">
      <c r="A169" s="23"/>
      <c r="B169" s="34"/>
      <c r="C169" s="21"/>
      <c r="D169" s="24"/>
      <c r="E169" s="24"/>
      <c r="F169" s="25"/>
      <c r="G169" s="57">
        <f t="shared" si="11"/>
        <v>0</v>
      </c>
      <c r="H169" s="58">
        <f t="shared" si="10"/>
        <v>9608.7800000000007</v>
      </c>
    </row>
    <row r="170" spans="1:8" ht="22.5" customHeight="1">
      <c r="A170" s="23"/>
      <c r="B170" s="34"/>
      <c r="C170" s="21"/>
      <c r="D170" s="24"/>
      <c r="E170" s="24"/>
      <c r="F170" s="25"/>
      <c r="G170" s="57">
        <f t="shared" si="11"/>
        <v>0</v>
      </c>
      <c r="H170" s="58">
        <f t="shared" si="10"/>
        <v>9608.7800000000007</v>
      </c>
    </row>
    <row r="171" spans="1:8" ht="22.5" customHeight="1">
      <c r="A171" s="23"/>
      <c r="B171" s="34"/>
      <c r="C171" s="21"/>
      <c r="D171" s="24"/>
      <c r="E171" s="24"/>
      <c r="F171" s="25"/>
      <c r="G171" s="57">
        <f t="shared" si="11"/>
        <v>0</v>
      </c>
      <c r="H171" s="58">
        <f t="shared" si="10"/>
        <v>9608.7800000000007</v>
      </c>
    </row>
    <row r="172" spans="1:8" ht="22.5" customHeight="1">
      <c r="A172" s="23"/>
      <c r="B172" s="34"/>
      <c r="C172" s="21"/>
      <c r="D172" s="24"/>
      <c r="E172" s="24"/>
      <c r="F172" s="25"/>
      <c r="G172" s="57">
        <f t="shared" si="11"/>
        <v>0</v>
      </c>
      <c r="H172" s="58">
        <f t="shared" si="10"/>
        <v>9608.7800000000007</v>
      </c>
    </row>
    <row r="173" spans="1:8" ht="22.5" customHeight="1">
      <c r="A173" s="23"/>
      <c r="B173" s="34"/>
      <c r="C173" s="21"/>
      <c r="D173" s="24"/>
      <c r="E173" s="24"/>
      <c r="F173" s="25"/>
      <c r="G173" s="57">
        <f t="shared" si="11"/>
        <v>0</v>
      </c>
      <c r="H173" s="58">
        <f t="shared" si="10"/>
        <v>9608.7800000000007</v>
      </c>
    </row>
    <row r="174" spans="1:8" ht="22.5" customHeight="1">
      <c r="A174" s="23"/>
      <c r="B174" s="34"/>
      <c r="C174" s="21"/>
      <c r="D174" s="24"/>
      <c r="E174" s="24"/>
      <c r="F174" s="25"/>
      <c r="G174" s="57">
        <f t="shared" si="11"/>
        <v>0</v>
      </c>
      <c r="H174" s="58">
        <f t="shared" si="10"/>
        <v>9608.7800000000007</v>
      </c>
    </row>
    <row r="175" spans="1:8" ht="22.5" customHeight="1">
      <c r="A175" s="23"/>
      <c r="B175" s="34"/>
      <c r="C175" s="21"/>
      <c r="D175" s="24"/>
      <c r="E175" s="24"/>
      <c r="F175" s="25"/>
      <c r="G175" s="57">
        <f t="shared" si="11"/>
        <v>0</v>
      </c>
      <c r="H175" s="58">
        <f t="shared" si="10"/>
        <v>9608.7800000000007</v>
      </c>
    </row>
    <row r="176" spans="1:8" ht="22.5" customHeight="1">
      <c r="A176" s="23"/>
      <c r="B176" s="34"/>
      <c r="C176" s="21"/>
      <c r="D176" s="24"/>
      <c r="E176" s="24"/>
      <c r="F176" s="25"/>
      <c r="G176" s="57">
        <f t="shared" si="11"/>
        <v>0</v>
      </c>
      <c r="H176" s="58">
        <f t="shared" si="10"/>
        <v>9608.7800000000007</v>
      </c>
    </row>
    <row r="177" spans="1:8" ht="22.5" customHeight="1">
      <c r="A177" s="23"/>
      <c r="B177" s="34"/>
      <c r="C177" s="21"/>
      <c r="D177" s="24"/>
      <c r="E177" s="24"/>
      <c r="F177" s="25"/>
      <c r="G177" s="57">
        <f t="shared" si="11"/>
        <v>0</v>
      </c>
      <c r="H177" s="58">
        <f t="shared" si="10"/>
        <v>9608.7800000000007</v>
      </c>
    </row>
    <row r="178" spans="1:8" ht="22.5" customHeight="1">
      <c r="A178" s="23"/>
      <c r="B178" s="34"/>
      <c r="C178" s="21"/>
      <c r="D178" s="24"/>
      <c r="E178" s="24"/>
      <c r="F178" s="25"/>
      <c r="G178" s="57">
        <f t="shared" si="11"/>
        <v>0</v>
      </c>
      <c r="H178" s="58">
        <f t="shared" si="10"/>
        <v>9608.7800000000007</v>
      </c>
    </row>
    <row r="179" spans="1:8" ht="22.5" customHeight="1">
      <c r="A179" s="23"/>
      <c r="B179" s="34"/>
      <c r="C179" s="21"/>
      <c r="D179" s="24"/>
      <c r="E179" s="24"/>
      <c r="F179" s="25"/>
      <c r="G179" s="57">
        <f t="shared" si="11"/>
        <v>0</v>
      </c>
      <c r="H179" s="58">
        <f t="shared" si="10"/>
        <v>9608.7800000000007</v>
      </c>
    </row>
    <row r="180" spans="1:8" ht="22.5" customHeight="1">
      <c r="A180" s="23"/>
      <c r="B180" s="34"/>
      <c r="C180" s="21"/>
      <c r="D180" s="24"/>
      <c r="E180" s="24"/>
      <c r="F180" s="25"/>
      <c r="G180" s="57">
        <f t="shared" si="11"/>
        <v>0</v>
      </c>
      <c r="H180" s="58">
        <f t="shared" si="10"/>
        <v>9608.7800000000007</v>
      </c>
    </row>
    <row r="181" spans="1:8" ht="22.5" customHeight="1">
      <c r="A181" s="23"/>
      <c r="B181" s="34"/>
      <c r="C181" s="21"/>
      <c r="D181" s="24"/>
      <c r="E181" s="24"/>
      <c r="F181" s="25"/>
      <c r="G181" s="57">
        <f t="shared" si="11"/>
        <v>0</v>
      </c>
      <c r="H181" s="58">
        <f t="shared" si="10"/>
        <v>9608.7800000000007</v>
      </c>
    </row>
    <row r="182" spans="1:8" ht="22.5" customHeight="1">
      <c r="A182" s="23"/>
      <c r="B182" s="34"/>
      <c r="C182" s="21"/>
      <c r="D182" s="24"/>
      <c r="E182" s="24"/>
      <c r="F182" s="25"/>
      <c r="G182" s="57">
        <f t="shared" si="11"/>
        <v>0</v>
      </c>
      <c r="H182" s="58">
        <f t="shared" si="10"/>
        <v>9608.7800000000007</v>
      </c>
    </row>
    <row r="183" spans="1:8" ht="22.5" customHeight="1">
      <c r="A183" s="23"/>
      <c r="B183" s="34"/>
      <c r="C183" s="21"/>
      <c r="D183" s="24"/>
      <c r="E183" s="24"/>
      <c r="F183" s="25"/>
      <c r="G183" s="57">
        <f t="shared" si="11"/>
        <v>0</v>
      </c>
      <c r="H183" s="58">
        <f t="shared" si="10"/>
        <v>9608.7800000000007</v>
      </c>
    </row>
    <row r="184" spans="1:8" ht="22.5" customHeight="1">
      <c r="A184" s="23"/>
      <c r="B184" s="34"/>
      <c r="C184" s="21"/>
      <c r="D184" s="24"/>
      <c r="E184" s="24"/>
      <c r="F184" s="25"/>
      <c r="G184" s="57">
        <f t="shared" si="11"/>
        <v>0</v>
      </c>
      <c r="H184" s="58">
        <f t="shared" si="10"/>
        <v>9608.7800000000007</v>
      </c>
    </row>
    <row r="185" spans="1:8" ht="22.5" customHeight="1">
      <c r="A185" s="23"/>
      <c r="B185" s="34"/>
      <c r="C185" s="21"/>
      <c r="D185" s="24"/>
      <c r="E185" s="24"/>
      <c r="F185" s="25"/>
      <c r="G185" s="57">
        <f t="shared" si="11"/>
        <v>0</v>
      </c>
      <c r="H185" s="58">
        <f t="shared" si="10"/>
        <v>9608.7800000000007</v>
      </c>
    </row>
    <row r="186" spans="1:8" ht="22.5" customHeight="1">
      <c r="A186" s="23"/>
      <c r="B186" s="34"/>
      <c r="C186" s="21"/>
      <c r="D186" s="24"/>
      <c r="E186" s="24"/>
      <c r="F186" s="25"/>
      <c r="G186" s="57">
        <f t="shared" si="11"/>
        <v>0</v>
      </c>
      <c r="H186" s="58">
        <f t="shared" si="10"/>
        <v>9608.7800000000007</v>
      </c>
    </row>
    <row r="187" spans="1:8" ht="22.5" customHeight="1">
      <c r="A187" s="23"/>
      <c r="B187" s="34"/>
      <c r="C187" s="21"/>
      <c r="D187" s="24"/>
      <c r="E187" s="24"/>
      <c r="F187" s="25"/>
      <c r="G187" s="57">
        <f t="shared" si="11"/>
        <v>0</v>
      </c>
      <c r="H187" s="58">
        <f t="shared" si="10"/>
        <v>9608.7800000000007</v>
      </c>
    </row>
    <row r="188" spans="1:8" ht="22.5" customHeight="1">
      <c r="A188" s="23"/>
      <c r="B188" s="34"/>
      <c r="C188" s="21"/>
      <c r="D188" s="24"/>
      <c r="E188" s="24"/>
      <c r="F188" s="25"/>
      <c r="G188" s="57">
        <f t="shared" si="11"/>
        <v>0</v>
      </c>
      <c r="H188" s="58">
        <f t="shared" si="10"/>
        <v>9608.7800000000007</v>
      </c>
    </row>
    <row r="189" spans="1:8" ht="22.5" customHeight="1">
      <c r="A189" s="23"/>
      <c r="B189" s="34"/>
      <c r="C189" s="21"/>
      <c r="D189" s="24"/>
      <c r="E189" s="24"/>
      <c r="F189" s="25"/>
      <c r="G189" s="57">
        <f t="shared" si="11"/>
        <v>0</v>
      </c>
      <c r="H189" s="58">
        <f t="shared" si="10"/>
        <v>9608.7800000000007</v>
      </c>
    </row>
    <row r="190" spans="1:8" ht="22.5" customHeight="1">
      <c r="A190" s="23"/>
      <c r="B190" s="34"/>
      <c r="C190" s="21"/>
      <c r="D190" s="24"/>
      <c r="E190" s="24"/>
      <c r="F190" s="25"/>
      <c r="G190" s="57">
        <f t="shared" si="11"/>
        <v>0</v>
      </c>
      <c r="H190" s="58">
        <f t="shared" si="10"/>
        <v>9608.7800000000007</v>
      </c>
    </row>
    <row r="191" spans="1:8" ht="22.5" customHeight="1">
      <c r="A191" s="23"/>
      <c r="B191" s="34"/>
      <c r="C191" s="21"/>
      <c r="D191" s="24"/>
      <c r="E191" s="24"/>
      <c r="F191" s="25"/>
      <c r="G191" s="57">
        <f t="shared" si="11"/>
        <v>0</v>
      </c>
      <c r="H191" s="58">
        <f t="shared" si="10"/>
        <v>9608.7800000000007</v>
      </c>
    </row>
    <row r="192" spans="1:8" ht="22.5" customHeight="1">
      <c r="A192" s="23"/>
      <c r="B192" s="34"/>
      <c r="C192" s="21"/>
      <c r="D192" s="24"/>
      <c r="E192" s="24"/>
      <c r="F192" s="25"/>
      <c r="G192" s="57">
        <f t="shared" si="11"/>
        <v>0</v>
      </c>
      <c r="H192" s="58">
        <f t="shared" si="10"/>
        <v>9608.7800000000007</v>
      </c>
    </row>
    <row r="193" spans="1:8" ht="22.5" customHeight="1">
      <c r="A193" s="23"/>
      <c r="B193" s="34"/>
      <c r="C193" s="21"/>
      <c r="D193" s="24"/>
      <c r="E193" s="24"/>
      <c r="F193" s="25"/>
      <c r="G193" s="57">
        <f t="shared" si="11"/>
        <v>0</v>
      </c>
      <c r="H193" s="58">
        <f t="shared" si="10"/>
        <v>9608.7800000000007</v>
      </c>
    </row>
    <row r="194" spans="1:8" ht="22.5" customHeight="1">
      <c r="A194" s="23"/>
      <c r="B194" s="34"/>
      <c r="C194" s="21"/>
      <c r="D194" s="24"/>
      <c r="E194" s="24"/>
      <c r="F194" s="25"/>
      <c r="G194" s="57">
        <f t="shared" si="11"/>
        <v>0</v>
      </c>
      <c r="H194" s="58">
        <f t="shared" si="10"/>
        <v>9608.7800000000007</v>
      </c>
    </row>
    <row r="195" spans="1:8" ht="22.5" customHeight="1">
      <c r="A195" s="23"/>
      <c r="B195" s="34"/>
      <c r="C195" s="21"/>
      <c r="D195" s="24"/>
      <c r="E195" s="24"/>
      <c r="F195" s="25"/>
      <c r="G195" s="57">
        <f t="shared" si="11"/>
        <v>0</v>
      </c>
      <c r="H195" s="58">
        <f t="shared" si="10"/>
        <v>9608.7800000000007</v>
      </c>
    </row>
    <row r="196" spans="1:8" ht="22.5" customHeight="1">
      <c r="A196" s="23"/>
      <c r="B196" s="34"/>
      <c r="C196" s="21"/>
      <c r="D196" s="24"/>
      <c r="E196" s="24"/>
      <c r="F196" s="25"/>
      <c r="G196" s="57">
        <f t="shared" si="11"/>
        <v>0</v>
      </c>
      <c r="H196" s="58">
        <f t="shared" si="10"/>
        <v>9608.7800000000007</v>
      </c>
    </row>
    <row r="197" spans="1:8" ht="22.5" customHeight="1">
      <c r="A197" s="23"/>
      <c r="B197" s="34"/>
      <c r="C197" s="21"/>
      <c r="D197" s="24"/>
      <c r="E197" s="24"/>
      <c r="F197" s="25"/>
      <c r="G197" s="57">
        <f t="shared" si="11"/>
        <v>0</v>
      </c>
      <c r="H197" s="58">
        <f t="shared" si="10"/>
        <v>9608.7800000000007</v>
      </c>
    </row>
    <row r="198" spans="1:8" ht="22.5" customHeight="1">
      <c r="A198" s="23"/>
      <c r="B198" s="34"/>
      <c r="C198" s="21"/>
      <c r="D198" s="24"/>
      <c r="E198" s="24"/>
      <c r="F198" s="25"/>
      <c r="G198" s="57">
        <f t="shared" si="11"/>
        <v>0</v>
      </c>
      <c r="H198" s="58">
        <f t="shared" si="10"/>
        <v>9608.7800000000007</v>
      </c>
    </row>
    <row r="199" spans="1:8" ht="22.5" customHeight="1">
      <c r="A199" s="23"/>
      <c r="B199" s="34"/>
      <c r="C199" s="21"/>
      <c r="D199" s="24"/>
      <c r="E199" s="24"/>
      <c r="F199" s="25"/>
      <c r="G199" s="57">
        <f t="shared" ref="G199:G206" si="12">IF(A199="Despesas",E199*-1,IF(A199="Receitas",E199,0))</f>
        <v>0</v>
      </c>
      <c r="H199" s="58">
        <f t="shared" si="10"/>
        <v>9608.7800000000007</v>
      </c>
    </row>
    <row r="200" spans="1:8" ht="22.5" customHeight="1">
      <c r="A200" s="23"/>
      <c r="B200" s="34"/>
      <c r="C200" s="21"/>
      <c r="D200" s="24"/>
      <c r="E200" s="24"/>
      <c r="F200" s="25"/>
      <c r="G200" s="57">
        <f t="shared" si="12"/>
        <v>0</v>
      </c>
      <c r="H200" s="58">
        <f t="shared" si="10"/>
        <v>9608.7800000000007</v>
      </c>
    </row>
    <row r="201" spans="1:8" ht="22.5" customHeight="1">
      <c r="A201" s="23"/>
      <c r="B201" s="34"/>
      <c r="C201" s="21"/>
      <c r="D201" s="24"/>
      <c r="E201" s="24"/>
      <c r="F201" s="25"/>
      <c r="G201" s="57">
        <f t="shared" si="12"/>
        <v>0</v>
      </c>
      <c r="H201" s="58">
        <f t="shared" si="10"/>
        <v>9608.7800000000007</v>
      </c>
    </row>
    <row r="202" spans="1:8" ht="22.5" customHeight="1">
      <c r="A202" s="23"/>
      <c r="B202" s="34"/>
      <c r="C202" s="21"/>
      <c r="D202" s="24"/>
      <c r="E202" s="24"/>
      <c r="F202" s="25"/>
      <c r="G202" s="57">
        <f t="shared" si="12"/>
        <v>0</v>
      </c>
      <c r="H202" s="58">
        <f t="shared" si="10"/>
        <v>9608.7800000000007</v>
      </c>
    </row>
    <row r="203" spans="1:8" ht="22.5" customHeight="1">
      <c r="A203" s="23"/>
      <c r="B203" s="34"/>
      <c r="C203" s="21"/>
      <c r="D203" s="24"/>
      <c r="E203" s="24"/>
      <c r="F203" s="25"/>
      <c r="G203" s="57">
        <f t="shared" si="12"/>
        <v>0</v>
      </c>
      <c r="H203" s="58">
        <f t="shared" si="10"/>
        <v>9608.7800000000007</v>
      </c>
    </row>
    <row r="204" spans="1:8" ht="22.5" customHeight="1">
      <c r="A204" s="23"/>
      <c r="B204" s="34"/>
      <c r="C204" s="21"/>
      <c r="D204" s="24"/>
      <c r="E204" s="24"/>
      <c r="F204" s="25"/>
      <c r="G204" s="57">
        <f t="shared" si="12"/>
        <v>0</v>
      </c>
      <c r="H204" s="58">
        <f t="shared" si="10"/>
        <v>9608.7800000000007</v>
      </c>
    </row>
    <row r="205" spans="1:8" ht="22.5" customHeight="1">
      <c r="A205" s="23"/>
      <c r="B205" s="34"/>
      <c r="C205" s="21"/>
      <c r="D205" s="24"/>
      <c r="E205" s="24"/>
      <c r="F205" s="25"/>
      <c r="G205" s="57">
        <f t="shared" si="12"/>
        <v>0</v>
      </c>
      <c r="H205" s="58">
        <f t="shared" si="10"/>
        <v>9608.7800000000007</v>
      </c>
    </row>
    <row r="206" spans="1:8" ht="22.5" customHeight="1">
      <c r="A206" s="23"/>
      <c r="B206" s="34"/>
      <c r="C206" s="21"/>
      <c r="D206" s="24"/>
      <c r="E206" s="24"/>
      <c r="F206" s="25"/>
      <c r="G206" s="57">
        <f t="shared" si="12"/>
        <v>0</v>
      </c>
      <c r="H206" s="58">
        <f t="shared" si="10"/>
        <v>9608.7800000000007</v>
      </c>
    </row>
    <row r="207" spans="1:8" ht="22.5" customHeight="1">
      <c r="A207" s="54" t="s">
        <v>71</v>
      </c>
      <c r="B207" s="34" t="s">
        <v>72</v>
      </c>
      <c r="C207" s="54" t="s">
        <v>71</v>
      </c>
      <c r="D207" s="54" t="s">
        <v>71</v>
      </c>
      <c r="E207" s="54" t="s">
        <v>71</v>
      </c>
      <c r="F207" s="54" t="s">
        <v>71</v>
      </c>
      <c r="G207" s="59" t="s">
        <v>71</v>
      </c>
      <c r="H207" s="60" t="s">
        <v>72</v>
      </c>
    </row>
  </sheetData>
  <mergeCells count="4">
    <mergeCell ref="A1:A4"/>
    <mergeCell ref="C1:E3"/>
    <mergeCell ref="F1:F3"/>
    <mergeCell ref="H2:H3"/>
  </mergeCells>
  <conditionalFormatting sqref="H7:H207">
    <cfRule type="cellIs" dxfId="8" priority="1" operator="lessThan">
      <formula>0</formula>
    </cfRule>
  </conditionalFormatting>
  <dataValidations count="6">
    <dataValidation type="list" allowBlank="1" sqref="C7:C206" xr:uid="{AF238DDF-CCF6-4E94-9DF2-25E8E6732286}">
      <formula1>Bancos</formula1>
    </dataValidation>
    <dataValidation type="list" allowBlank="1" sqref="B7:B206" xr:uid="{FC8D82CE-2569-4C3F-8483-FC90BD4E3229}">
      <formula1>INDIRECT(A7)</formula1>
    </dataValidation>
    <dataValidation type="list" allowBlank="1" sqref="B207" xr:uid="{986CA265-E71C-4754-804C-5C8C757DA79C}">
      <formula1>INDIRECT($A$7)</formula1>
    </dataValidation>
    <dataValidation type="list" allowBlank="1" sqref="C207:G207 A207 C6" xr:uid="{8859B407-23AB-479E-9344-D758EFAB2A53}">
      <formula1>#REF!</formula1>
    </dataValidation>
    <dataValidation type="list" allowBlank="1" sqref="A7:A206 A6:B6" xr:uid="{2D42E4C2-D5AF-4677-955B-CF9E17842014}">
      <formula1>"Receitas,Despesas"</formula1>
    </dataValidation>
    <dataValidation type="custom" allowBlank="1" showDropDown="1" sqref="F6:F206" xr:uid="{627AF080-633B-4446-B12C-3B670810C155}">
      <formula1>OR(NOT(ISERROR(DATEVALUE(F6))), AND(ISNUMBER(F6), LEFT(CELL("format", F6))="D"))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58D89-FB4C-4BA7-B26F-1E409918A346}">
  <sheetPr>
    <outlinePr summaryBelow="0" summaryRight="0"/>
  </sheetPr>
  <dimension ref="A1:J207"/>
  <sheetViews>
    <sheetView showGridLines="0" workbookViewId="0">
      <selection activeCell="H6" sqref="H6"/>
    </sheetView>
  </sheetViews>
  <sheetFormatPr defaultColWidth="12.5703125" defaultRowHeight="15.75" customHeight="1"/>
  <cols>
    <col min="1" max="1" width="9.28515625" style="27" bestFit="1" customWidth="1"/>
    <col min="2" max="2" width="30.85546875" style="27" bestFit="1" customWidth="1"/>
    <col min="3" max="3" width="20.85546875" style="27" bestFit="1" customWidth="1"/>
    <col min="4" max="4" width="13.85546875" style="27" bestFit="1" customWidth="1"/>
    <col min="5" max="5" width="11.7109375" bestFit="1" customWidth="1"/>
    <col min="6" max="6" width="16.28515625" style="27" customWidth="1"/>
    <col min="7" max="7" width="11.7109375" style="27" hidden="1" customWidth="1"/>
    <col min="8" max="8" width="22.5703125" style="33" bestFit="1" customWidth="1"/>
    <col min="9" max="10" width="12.5703125" style="27" hidden="1" customWidth="1"/>
  </cols>
  <sheetData>
    <row r="1" spans="1:8" ht="19.5" customHeight="1">
      <c r="A1" s="70"/>
      <c r="B1" s="13"/>
      <c r="C1" s="74" t="s">
        <v>57</v>
      </c>
      <c r="D1" s="66"/>
      <c r="E1" s="62"/>
      <c r="F1" s="73" t="s">
        <v>44</v>
      </c>
      <c r="G1" s="14"/>
      <c r="H1" s="35" t="s">
        <v>43</v>
      </c>
    </row>
    <row r="2" spans="1:8" ht="12.75" customHeight="1">
      <c r="A2" s="66"/>
      <c r="B2" s="15"/>
      <c r="C2" s="66"/>
      <c r="D2" s="66"/>
      <c r="E2" s="62"/>
      <c r="F2" s="73"/>
      <c r="G2" s="14"/>
      <c r="H2" s="72">
        <f>ABR!H206</f>
        <v>9608.7800000000007</v>
      </c>
    </row>
    <row r="3" spans="1:8" ht="23.25" customHeight="1">
      <c r="A3" s="66"/>
      <c r="B3" s="12"/>
      <c r="C3" s="66"/>
      <c r="D3" s="66"/>
      <c r="E3" s="62"/>
      <c r="F3" s="73"/>
      <c r="G3" s="14"/>
      <c r="H3" s="72"/>
    </row>
    <row r="4" spans="1:8" ht="12.75">
      <c r="A4" s="66"/>
      <c r="B4" s="13"/>
      <c r="C4" s="16"/>
      <c r="D4" s="16"/>
      <c r="E4" s="16"/>
      <c r="F4" s="14"/>
      <c r="G4" s="14"/>
      <c r="H4" s="31"/>
    </row>
    <row r="5" spans="1:8" ht="22.5" customHeight="1">
      <c r="A5" s="28" t="s">
        <v>45</v>
      </c>
      <c r="B5" s="29" t="s">
        <v>46</v>
      </c>
      <c r="C5" s="30" t="s">
        <v>47</v>
      </c>
      <c r="D5" s="29" t="s">
        <v>48</v>
      </c>
      <c r="E5" s="36" t="s">
        <v>49</v>
      </c>
      <c r="F5" s="29" t="s">
        <v>50</v>
      </c>
      <c r="G5" s="32" t="s">
        <v>67</v>
      </c>
      <c r="H5" s="36" t="s">
        <v>51</v>
      </c>
    </row>
    <row r="6" spans="1:8" ht="22.5" customHeight="1">
      <c r="A6" s="26"/>
      <c r="B6" s="26"/>
      <c r="C6" s="26"/>
      <c r="D6" s="26" t="s">
        <v>52</v>
      </c>
      <c r="E6" s="17">
        <f>H2</f>
        <v>9608.7800000000007</v>
      </c>
      <c r="F6" s="18">
        <v>46142</v>
      </c>
      <c r="G6" s="55">
        <f>E6</f>
        <v>9608.7800000000007</v>
      </c>
      <c r="H6" s="56">
        <f>E6</f>
        <v>9608.7800000000007</v>
      </c>
    </row>
    <row r="7" spans="1:8" ht="22.5" customHeight="1">
      <c r="A7" s="34"/>
      <c r="B7" s="34"/>
      <c r="C7" s="21"/>
      <c r="D7" s="22"/>
      <c r="E7" s="22"/>
      <c r="F7" s="19"/>
      <c r="G7" s="57">
        <f t="shared" ref="G7:G38" si="0">IF(A7="Despesas",E7*-1,IF(A7="Receitas",E7,0))</f>
        <v>0</v>
      </c>
      <c r="H7" s="58">
        <f t="shared" ref="H7:H38" si="1">H6+G7</f>
        <v>9608.7800000000007</v>
      </c>
    </row>
    <row r="8" spans="1:8" ht="22.5" customHeight="1">
      <c r="A8" s="34"/>
      <c r="B8" s="34"/>
      <c r="C8" s="21"/>
      <c r="D8" s="22"/>
      <c r="E8" s="22"/>
      <c r="F8" s="20"/>
      <c r="G8" s="57">
        <f t="shared" si="0"/>
        <v>0</v>
      </c>
      <c r="H8" s="58">
        <f t="shared" si="1"/>
        <v>9608.7800000000007</v>
      </c>
    </row>
    <row r="9" spans="1:8" ht="22.5" customHeight="1">
      <c r="A9" s="21"/>
      <c r="B9" s="34"/>
      <c r="C9" s="21"/>
      <c r="D9" s="22"/>
      <c r="E9" s="22"/>
      <c r="F9" s="19"/>
      <c r="G9" s="57">
        <f t="shared" si="0"/>
        <v>0</v>
      </c>
      <c r="H9" s="58">
        <f t="shared" si="1"/>
        <v>9608.7800000000007</v>
      </c>
    </row>
    <row r="10" spans="1:8" ht="22.5" customHeight="1">
      <c r="A10" s="21"/>
      <c r="B10" s="34"/>
      <c r="C10" s="21"/>
      <c r="D10" s="22"/>
      <c r="E10" s="22"/>
      <c r="F10" s="20"/>
      <c r="G10" s="57">
        <f t="shared" si="0"/>
        <v>0</v>
      </c>
      <c r="H10" s="58">
        <f t="shared" si="1"/>
        <v>9608.7800000000007</v>
      </c>
    </row>
    <row r="11" spans="1:8" ht="22.5" customHeight="1">
      <c r="A11" s="21"/>
      <c r="B11" s="34"/>
      <c r="C11" s="21"/>
      <c r="D11" s="22"/>
      <c r="E11" s="22"/>
      <c r="F11" s="19"/>
      <c r="G11" s="57">
        <f t="shared" si="0"/>
        <v>0</v>
      </c>
      <c r="H11" s="58">
        <f t="shared" si="1"/>
        <v>9608.7800000000007</v>
      </c>
    </row>
    <row r="12" spans="1:8" ht="22.5" customHeight="1">
      <c r="A12" s="21"/>
      <c r="B12" s="34"/>
      <c r="C12" s="21"/>
      <c r="D12" s="22"/>
      <c r="E12" s="22"/>
      <c r="F12" s="20"/>
      <c r="G12" s="57">
        <f t="shared" si="0"/>
        <v>0</v>
      </c>
      <c r="H12" s="58">
        <f t="shared" si="1"/>
        <v>9608.7800000000007</v>
      </c>
    </row>
    <row r="13" spans="1:8" ht="22.5" customHeight="1">
      <c r="A13" s="21"/>
      <c r="B13" s="34"/>
      <c r="C13" s="21"/>
      <c r="D13" s="22"/>
      <c r="E13" s="22"/>
      <c r="F13" s="19"/>
      <c r="G13" s="57">
        <f t="shared" si="0"/>
        <v>0</v>
      </c>
      <c r="H13" s="58">
        <f t="shared" si="1"/>
        <v>9608.7800000000007</v>
      </c>
    </row>
    <row r="14" spans="1:8" ht="22.5" customHeight="1">
      <c r="A14" s="21"/>
      <c r="B14" s="34"/>
      <c r="C14" s="21"/>
      <c r="D14" s="22"/>
      <c r="E14" s="22"/>
      <c r="F14" s="20"/>
      <c r="G14" s="57">
        <f t="shared" si="0"/>
        <v>0</v>
      </c>
      <c r="H14" s="58">
        <f t="shared" si="1"/>
        <v>9608.7800000000007</v>
      </c>
    </row>
    <row r="15" spans="1:8" ht="22.5" customHeight="1">
      <c r="A15" s="21"/>
      <c r="B15" s="34"/>
      <c r="C15" s="21"/>
      <c r="D15" s="22"/>
      <c r="E15" s="22"/>
      <c r="F15" s="19"/>
      <c r="G15" s="57">
        <f t="shared" si="0"/>
        <v>0</v>
      </c>
      <c r="H15" s="58">
        <f t="shared" si="1"/>
        <v>9608.7800000000007</v>
      </c>
    </row>
    <row r="16" spans="1:8" ht="22.5" customHeight="1">
      <c r="A16" s="21"/>
      <c r="B16" s="34"/>
      <c r="C16" s="21"/>
      <c r="D16" s="22"/>
      <c r="E16" s="22"/>
      <c r="F16" s="20"/>
      <c r="G16" s="57">
        <f t="shared" si="0"/>
        <v>0</v>
      </c>
      <c r="H16" s="58">
        <f t="shared" si="1"/>
        <v>9608.7800000000007</v>
      </c>
    </row>
    <row r="17" spans="1:8" ht="22.5" customHeight="1">
      <c r="A17" s="21"/>
      <c r="B17" s="34"/>
      <c r="C17" s="21"/>
      <c r="D17" s="22"/>
      <c r="E17" s="22"/>
      <c r="F17" s="19"/>
      <c r="G17" s="57">
        <f t="shared" si="0"/>
        <v>0</v>
      </c>
      <c r="H17" s="58">
        <f t="shared" si="1"/>
        <v>9608.7800000000007</v>
      </c>
    </row>
    <row r="18" spans="1:8" ht="22.5" customHeight="1">
      <c r="A18" s="21"/>
      <c r="B18" s="34"/>
      <c r="C18" s="21"/>
      <c r="D18" s="22"/>
      <c r="E18" s="22"/>
      <c r="F18" s="20"/>
      <c r="G18" s="57">
        <f t="shared" si="0"/>
        <v>0</v>
      </c>
      <c r="H18" s="58">
        <f t="shared" si="1"/>
        <v>9608.7800000000007</v>
      </c>
    </row>
    <row r="19" spans="1:8" ht="22.5" customHeight="1">
      <c r="A19" s="21"/>
      <c r="B19" s="34"/>
      <c r="C19" s="21"/>
      <c r="D19" s="22"/>
      <c r="E19" s="22"/>
      <c r="F19" s="19"/>
      <c r="G19" s="57">
        <f t="shared" si="0"/>
        <v>0</v>
      </c>
      <c r="H19" s="58">
        <f t="shared" si="1"/>
        <v>9608.7800000000007</v>
      </c>
    </row>
    <row r="20" spans="1:8" ht="22.5" customHeight="1">
      <c r="A20" s="21"/>
      <c r="B20" s="34"/>
      <c r="C20" s="21"/>
      <c r="D20" s="22"/>
      <c r="E20" s="22"/>
      <c r="F20" s="20"/>
      <c r="G20" s="57">
        <f t="shared" si="0"/>
        <v>0</v>
      </c>
      <c r="H20" s="58">
        <f t="shared" si="1"/>
        <v>9608.7800000000007</v>
      </c>
    </row>
    <row r="21" spans="1:8" ht="22.5" customHeight="1">
      <c r="A21" s="21"/>
      <c r="B21" s="34"/>
      <c r="C21" s="21"/>
      <c r="D21" s="22"/>
      <c r="E21" s="22"/>
      <c r="F21" s="19"/>
      <c r="G21" s="57">
        <f t="shared" si="0"/>
        <v>0</v>
      </c>
      <c r="H21" s="58">
        <f t="shared" si="1"/>
        <v>9608.7800000000007</v>
      </c>
    </row>
    <row r="22" spans="1:8" ht="22.5" customHeight="1">
      <c r="A22" s="21"/>
      <c r="B22" s="34"/>
      <c r="C22" s="21"/>
      <c r="D22" s="22"/>
      <c r="E22" s="22"/>
      <c r="F22" s="20"/>
      <c r="G22" s="57">
        <f t="shared" si="0"/>
        <v>0</v>
      </c>
      <c r="H22" s="58">
        <f t="shared" si="1"/>
        <v>9608.7800000000007</v>
      </c>
    </row>
    <row r="23" spans="1:8" ht="22.5" customHeight="1">
      <c r="A23" s="21"/>
      <c r="B23" s="34"/>
      <c r="C23" s="21"/>
      <c r="D23" s="22"/>
      <c r="E23" s="22"/>
      <c r="F23" s="19"/>
      <c r="G23" s="57">
        <f t="shared" si="0"/>
        <v>0</v>
      </c>
      <c r="H23" s="58">
        <f t="shared" si="1"/>
        <v>9608.7800000000007</v>
      </c>
    </row>
    <row r="24" spans="1:8" ht="22.5" customHeight="1">
      <c r="A24" s="21"/>
      <c r="B24" s="34"/>
      <c r="C24" s="21"/>
      <c r="D24" s="22"/>
      <c r="E24" s="22"/>
      <c r="F24" s="20"/>
      <c r="G24" s="57">
        <f t="shared" si="0"/>
        <v>0</v>
      </c>
      <c r="H24" s="58">
        <f t="shared" si="1"/>
        <v>9608.7800000000007</v>
      </c>
    </row>
    <row r="25" spans="1:8" ht="22.5" customHeight="1">
      <c r="A25" s="21"/>
      <c r="B25" s="34"/>
      <c r="C25" s="21"/>
      <c r="D25" s="22"/>
      <c r="E25" s="22"/>
      <c r="F25" s="19"/>
      <c r="G25" s="57">
        <f t="shared" si="0"/>
        <v>0</v>
      </c>
      <c r="H25" s="58">
        <f t="shared" si="1"/>
        <v>9608.7800000000007</v>
      </c>
    </row>
    <row r="26" spans="1:8" ht="22.5" customHeight="1">
      <c r="A26" s="21"/>
      <c r="B26" s="34"/>
      <c r="C26" s="21"/>
      <c r="D26" s="22"/>
      <c r="E26" s="22"/>
      <c r="F26" s="20"/>
      <c r="G26" s="57">
        <f t="shared" si="0"/>
        <v>0</v>
      </c>
      <c r="H26" s="58">
        <f t="shared" si="1"/>
        <v>9608.7800000000007</v>
      </c>
    </row>
    <row r="27" spans="1:8" ht="22.5" customHeight="1">
      <c r="A27" s="21"/>
      <c r="B27" s="34"/>
      <c r="C27" s="21"/>
      <c r="D27" s="22"/>
      <c r="E27" s="22"/>
      <c r="F27" s="19"/>
      <c r="G27" s="57">
        <f t="shared" si="0"/>
        <v>0</v>
      </c>
      <c r="H27" s="58">
        <f t="shared" si="1"/>
        <v>9608.7800000000007</v>
      </c>
    </row>
    <row r="28" spans="1:8" ht="22.5" customHeight="1">
      <c r="A28" s="21"/>
      <c r="B28" s="34"/>
      <c r="C28" s="21"/>
      <c r="D28" s="22"/>
      <c r="E28" s="22"/>
      <c r="F28" s="20"/>
      <c r="G28" s="57">
        <f t="shared" si="0"/>
        <v>0</v>
      </c>
      <c r="H28" s="58">
        <f t="shared" si="1"/>
        <v>9608.7800000000007</v>
      </c>
    </row>
    <row r="29" spans="1:8" ht="22.5" customHeight="1">
      <c r="A29" s="21"/>
      <c r="B29" s="34"/>
      <c r="C29" s="21"/>
      <c r="D29" s="22"/>
      <c r="E29" s="22"/>
      <c r="F29" s="19"/>
      <c r="G29" s="57">
        <f t="shared" si="0"/>
        <v>0</v>
      </c>
      <c r="H29" s="58">
        <f t="shared" si="1"/>
        <v>9608.7800000000007</v>
      </c>
    </row>
    <row r="30" spans="1:8" ht="22.5" customHeight="1">
      <c r="A30" s="21"/>
      <c r="B30" s="34"/>
      <c r="C30" s="21"/>
      <c r="D30" s="22"/>
      <c r="E30" s="22"/>
      <c r="F30" s="20"/>
      <c r="G30" s="57">
        <f t="shared" si="0"/>
        <v>0</v>
      </c>
      <c r="H30" s="58">
        <f t="shared" si="1"/>
        <v>9608.7800000000007</v>
      </c>
    </row>
    <row r="31" spans="1:8" ht="22.5" customHeight="1">
      <c r="A31" s="21"/>
      <c r="B31" s="34"/>
      <c r="C31" s="21"/>
      <c r="D31" s="22"/>
      <c r="E31" s="22"/>
      <c r="F31" s="19"/>
      <c r="G31" s="57">
        <f t="shared" si="0"/>
        <v>0</v>
      </c>
      <c r="H31" s="58">
        <f t="shared" si="1"/>
        <v>9608.7800000000007</v>
      </c>
    </row>
    <row r="32" spans="1:8" ht="22.5" customHeight="1">
      <c r="A32" s="21"/>
      <c r="B32" s="34"/>
      <c r="C32" s="21"/>
      <c r="D32" s="22"/>
      <c r="E32" s="22"/>
      <c r="F32" s="20"/>
      <c r="G32" s="57">
        <f t="shared" si="0"/>
        <v>0</v>
      </c>
      <c r="H32" s="58">
        <f t="shared" si="1"/>
        <v>9608.7800000000007</v>
      </c>
    </row>
    <row r="33" spans="1:8" ht="22.5" customHeight="1">
      <c r="A33" s="21"/>
      <c r="B33" s="34"/>
      <c r="C33" s="21"/>
      <c r="D33" s="22"/>
      <c r="E33" s="22"/>
      <c r="F33" s="19"/>
      <c r="G33" s="57">
        <f t="shared" si="0"/>
        <v>0</v>
      </c>
      <c r="H33" s="58">
        <f t="shared" si="1"/>
        <v>9608.7800000000007</v>
      </c>
    </row>
    <row r="34" spans="1:8" ht="22.5" customHeight="1">
      <c r="A34" s="23"/>
      <c r="B34" s="34"/>
      <c r="C34" s="21"/>
      <c r="D34" s="24"/>
      <c r="E34" s="24"/>
      <c r="F34" s="20"/>
      <c r="G34" s="57">
        <f t="shared" si="0"/>
        <v>0</v>
      </c>
      <c r="H34" s="58">
        <f t="shared" si="1"/>
        <v>9608.7800000000007</v>
      </c>
    </row>
    <row r="35" spans="1:8" ht="22.5" customHeight="1">
      <c r="A35" s="23"/>
      <c r="B35" s="34"/>
      <c r="C35" s="21"/>
      <c r="D35" s="24"/>
      <c r="E35" s="24"/>
      <c r="F35" s="19"/>
      <c r="G35" s="57">
        <f t="shared" si="0"/>
        <v>0</v>
      </c>
      <c r="H35" s="58">
        <f t="shared" si="1"/>
        <v>9608.7800000000007</v>
      </c>
    </row>
    <row r="36" spans="1:8" ht="22.5" customHeight="1">
      <c r="A36" s="23"/>
      <c r="B36" s="34"/>
      <c r="C36" s="21"/>
      <c r="D36" s="24"/>
      <c r="E36" s="24"/>
      <c r="F36" s="20"/>
      <c r="G36" s="57">
        <f t="shared" si="0"/>
        <v>0</v>
      </c>
      <c r="H36" s="58">
        <f t="shared" si="1"/>
        <v>9608.7800000000007</v>
      </c>
    </row>
    <row r="37" spans="1:8" ht="22.5" customHeight="1">
      <c r="A37" s="23"/>
      <c r="B37" s="34"/>
      <c r="C37" s="21"/>
      <c r="D37" s="24"/>
      <c r="E37" s="24"/>
      <c r="F37" s="19"/>
      <c r="G37" s="57">
        <f t="shared" si="0"/>
        <v>0</v>
      </c>
      <c r="H37" s="58">
        <f t="shared" si="1"/>
        <v>9608.7800000000007</v>
      </c>
    </row>
    <row r="38" spans="1:8" ht="22.5" customHeight="1">
      <c r="A38" s="23"/>
      <c r="B38" s="34"/>
      <c r="C38" s="21"/>
      <c r="D38" s="24"/>
      <c r="E38" s="24"/>
      <c r="F38" s="25"/>
      <c r="G38" s="57">
        <f t="shared" si="0"/>
        <v>0</v>
      </c>
      <c r="H38" s="58">
        <f t="shared" si="1"/>
        <v>9608.7800000000007</v>
      </c>
    </row>
    <row r="39" spans="1:8" ht="22.5" customHeight="1">
      <c r="A39" s="23"/>
      <c r="B39" s="34"/>
      <c r="C39" s="21"/>
      <c r="D39" s="24"/>
      <c r="E39" s="24"/>
      <c r="F39" s="25"/>
      <c r="G39" s="57">
        <f t="shared" ref="G39:G70" si="2">IF(A39="Despesas",E39*-1,IF(A39="Receitas",E39,0))</f>
        <v>0</v>
      </c>
      <c r="H39" s="58">
        <f t="shared" ref="H39:H70" si="3">H38+G39</f>
        <v>9608.7800000000007</v>
      </c>
    </row>
    <row r="40" spans="1:8" ht="22.5" customHeight="1">
      <c r="A40" s="23"/>
      <c r="B40" s="34"/>
      <c r="C40" s="21"/>
      <c r="D40" s="24"/>
      <c r="E40" s="24"/>
      <c r="F40" s="25"/>
      <c r="G40" s="57">
        <f t="shared" si="2"/>
        <v>0</v>
      </c>
      <c r="H40" s="58">
        <f t="shared" si="3"/>
        <v>9608.7800000000007</v>
      </c>
    </row>
    <row r="41" spans="1:8" ht="22.5" customHeight="1">
      <c r="A41" s="23"/>
      <c r="B41" s="34"/>
      <c r="C41" s="21"/>
      <c r="D41" s="24"/>
      <c r="E41" s="24"/>
      <c r="F41" s="25"/>
      <c r="G41" s="57">
        <f t="shared" si="2"/>
        <v>0</v>
      </c>
      <c r="H41" s="58">
        <f t="shared" si="3"/>
        <v>9608.7800000000007</v>
      </c>
    </row>
    <row r="42" spans="1:8" ht="22.5" customHeight="1">
      <c r="A42" s="23"/>
      <c r="B42" s="34"/>
      <c r="C42" s="21"/>
      <c r="D42" s="24"/>
      <c r="E42" s="24"/>
      <c r="F42" s="25"/>
      <c r="G42" s="57">
        <f t="shared" si="2"/>
        <v>0</v>
      </c>
      <c r="H42" s="58">
        <f t="shared" si="3"/>
        <v>9608.7800000000007</v>
      </c>
    </row>
    <row r="43" spans="1:8" ht="22.5" customHeight="1">
      <c r="A43" s="23"/>
      <c r="B43" s="34"/>
      <c r="C43" s="21"/>
      <c r="D43" s="24"/>
      <c r="E43" s="24"/>
      <c r="F43" s="25"/>
      <c r="G43" s="57">
        <f t="shared" si="2"/>
        <v>0</v>
      </c>
      <c r="H43" s="58">
        <f t="shared" si="3"/>
        <v>9608.7800000000007</v>
      </c>
    </row>
    <row r="44" spans="1:8" ht="22.5" customHeight="1">
      <c r="A44" s="23"/>
      <c r="B44" s="34"/>
      <c r="C44" s="21"/>
      <c r="D44" s="24"/>
      <c r="E44" s="24"/>
      <c r="F44" s="25"/>
      <c r="G44" s="57">
        <f t="shared" si="2"/>
        <v>0</v>
      </c>
      <c r="H44" s="58">
        <f t="shared" si="3"/>
        <v>9608.7800000000007</v>
      </c>
    </row>
    <row r="45" spans="1:8" ht="22.5" customHeight="1">
      <c r="A45" s="23"/>
      <c r="B45" s="34"/>
      <c r="C45" s="21"/>
      <c r="D45" s="24"/>
      <c r="E45" s="24"/>
      <c r="F45" s="25"/>
      <c r="G45" s="57">
        <f t="shared" si="2"/>
        <v>0</v>
      </c>
      <c r="H45" s="58">
        <f t="shared" si="3"/>
        <v>9608.7800000000007</v>
      </c>
    </row>
    <row r="46" spans="1:8" ht="22.5" customHeight="1">
      <c r="A46" s="23"/>
      <c r="B46" s="34"/>
      <c r="C46" s="21"/>
      <c r="D46" s="24"/>
      <c r="E46" s="24"/>
      <c r="F46" s="25"/>
      <c r="G46" s="57">
        <f t="shared" si="2"/>
        <v>0</v>
      </c>
      <c r="H46" s="58">
        <f t="shared" si="3"/>
        <v>9608.7800000000007</v>
      </c>
    </row>
    <row r="47" spans="1:8" ht="22.5" customHeight="1">
      <c r="A47" s="23"/>
      <c r="B47" s="34"/>
      <c r="C47" s="21"/>
      <c r="D47" s="24"/>
      <c r="E47" s="24"/>
      <c r="F47" s="25"/>
      <c r="G47" s="57">
        <f t="shared" si="2"/>
        <v>0</v>
      </c>
      <c r="H47" s="58">
        <f t="shared" si="3"/>
        <v>9608.7800000000007</v>
      </c>
    </row>
    <row r="48" spans="1:8" ht="22.5" customHeight="1">
      <c r="A48" s="23"/>
      <c r="B48" s="34"/>
      <c r="C48" s="21"/>
      <c r="D48" s="24"/>
      <c r="E48" s="24"/>
      <c r="F48" s="25"/>
      <c r="G48" s="57">
        <f t="shared" si="2"/>
        <v>0</v>
      </c>
      <c r="H48" s="58">
        <f t="shared" si="3"/>
        <v>9608.7800000000007</v>
      </c>
    </row>
    <row r="49" spans="1:8" ht="22.5" customHeight="1">
      <c r="A49" s="23"/>
      <c r="B49" s="34"/>
      <c r="C49" s="21"/>
      <c r="D49" s="24"/>
      <c r="E49" s="24"/>
      <c r="F49" s="25"/>
      <c r="G49" s="57">
        <f t="shared" si="2"/>
        <v>0</v>
      </c>
      <c r="H49" s="58">
        <f t="shared" si="3"/>
        <v>9608.7800000000007</v>
      </c>
    </row>
    <row r="50" spans="1:8" ht="22.5" customHeight="1">
      <c r="A50" s="23"/>
      <c r="B50" s="34"/>
      <c r="C50" s="21"/>
      <c r="D50" s="24"/>
      <c r="E50" s="24"/>
      <c r="F50" s="25"/>
      <c r="G50" s="57">
        <f t="shared" si="2"/>
        <v>0</v>
      </c>
      <c r="H50" s="58">
        <f t="shared" si="3"/>
        <v>9608.7800000000007</v>
      </c>
    </row>
    <row r="51" spans="1:8" ht="22.5" customHeight="1">
      <c r="A51" s="23"/>
      <c r="B51" s="34"/>
      <c r="C51" s="21"/>
      <c r="D51" s="24"/>
      <c r="E51" s="24"/>
      <c r="F51" s="25"/>
      <c r="G51" s="57">
        <f t="shared" si="2"/>
        <v>0</v>
      </c>
      <c r="H51" s="58">
        <f t="shared" si="3"/>
        <v>9608.7800000000007</v>
      </c>
    </row>
    <row r="52" spans="1:8" ht="22.5" customHeight="1">
      <c r="A52" s="23"/>
      <c r="B52" s="34"/>
      <c r="C52" s="21"/>
      <c r="D52" s="24"/>
      <c r="E52" s="24"/>
      <c r="F52" s="25"/>
      <c r="G52" s="57">
        <f t="shared" si="2"/>
        <v>0</v>
      </c>
      <c r="H52" s="58">
        <f t="shared" si="3"/>
        <v>9608.7800000000007</v>
      </c>
    </row>
    <row r="53" spans="1:8" ht="22.5" customHeight="1">
      <c r="A53" s="23"/>
      <c r="B53" s="34"/>
      <c r="C53" s="21"/>
      <c r="D53" s="24"/>
      <c r="E53" s="24"/>
      <c r="F53" s="25"/>
      <c r="G53" s="57">
        <f t="shared" si="2"/>
        <v>0</v>
      </c>
      <c r="H53" s="58">
        <f t="shared" si="3"/>
        <v>9608.7800000000007</v>
      </c>
    </row>
    <row r="54" spans="1:8" ht="22.5" customHeight="1">
      <c r="A54" s="23"/>
      <c r="B54" s="34"/>
      <c r="C54" s="21"/>
      <c r="D54" s="24"/>
      <c r="E54" s="24"/>
      <c r="F54" s="25"/>
      <c r="G54" s="57">
        <f t="shared" si="2"/>
        <v>0</v>
      </c>
      <c r="H54" s="58">
        <f t="shared" si="3"/>
        <v>9608.7800000000007</v>
      </c>
    </row>
    <row r="55" spans="1:8" ht="22.5" customHeight="1">
      <c r="A55" s="23"/>
      <c r="B55" s="34"/>
      <c r="C55" s="21"/>
      <c r="D55" s="24"/>
      <c r="E55" s="24"/>
      <c r="F55" s="25"/>
      <c r="G55" s="57">
        <f t="shared" si="2"/>
        <v>0</v>
      </c>
      <c r="H55" s="58">
        <f t="shared" si="3"/>
        <v>9608.7800000000007</v>
      </c>
    </row>
    <row r="56" spans="1:8" ht="22.5" customHeight="1">
      <c r="A56" s="23"/>
      <c r="B56" s="34"/>
      <c r="C56" s="21"/>
      <c r="D56" s="24"/>
      <c r="E56" s="24"/>
      <c r="F56" s="25"/>
      <c r="G56" s="57">
        <f t="shared" si="2"/>
        <v>0</v>
      </c>
      <c r="H56" s="58">
        <f t="shared" si="3"/>
        <v>9608.7800000000007</v>
      </c>
    </row>
    <row r="57" spans="1:8" ht="22.5" customHeight="1">
      <c r="A57" s="23"/>
      <c r="B57" s="34"/>
      <c r="C57" s="21"/>
      <c r="D57" s="24"/>
      <c r="E57" s="24"/>
      <c r="F57" s="25"/>
      <c r="G57" s="57">
        <f t="shared" si="2"/>
        <v>0</v>
      </c>
      <c r="H57" s="58">
        <f t="shared" si="3"/>
        <v>9608.7800000000007</v>
      </c>
    </row>
    <row r="58" spans="1:8" ht="22.5" customHeight="1">
      <c r="A58" s="23"/>
      <c r="B58" s="34"/>
      <c r="C58" s="21"/>
      <c r="D58" s="24"/>
      <c r="E58" s="24"/>
      <c r="F58" s="25"/>
      <c r="G58" s="57">
        <f t="shared" si="2"/>
        <v>0</v>
      </c>
      <c r="H58" s="58">
        <f t="shared" si="3"/>
        <v>9608.7800000000007</v>
      </c>
    </row>
    <row r="59" spans="1:8" ht="22.5" customHeight="1">
      <c r="A59" s="23"/>
      <c r="B59" s="34"/>
      <c r="C59" s="21"/>
      <c r="D59" s="24"/>
      <c r="E59" s="24"/>
      <c r="F59" s="25"/>
      <c r="G59" s="57">
        <f t="shared" si="2"/>
        <v>0</v>
      </c>
      <c r="H59" s="58">
        <f t="shared" si="3"/>
        <v>9608.7800000000007</v>
      </c>
    </row>
    <row r="60" spans="1:8" ht="22.5" customHeight="1">
      <c r="A60" s="23"/>
      <c r="B60" s="34"/>
      <c r="C60" s="21"/>
      <c r="D60" s="24"/>
      <c r="E60" s="24"/>
      <c r="F60" s="25"/>
      <c r="G60" s="57">
        <f t="shared" si="2"/>
        <v>0</v>
      </c>
      <c r="H60" s="58">
        <f t="shared" si="3"/>
        <v>9608.7800000000007</v>
      </c>
    </row>
    <row r="61" spans="1:8" ht="22.5" customHeight="1">
      <c r="A61" s="23"/>
      <c r="B61" s="34"/>
      <c r="C61" s="21"/>
      <c r="D61" s="24"/>
      <c r="E61" s="24"/>
      <c r="F61" s="25"/>
      <c r="G61" s="57">
        <f t="shared" si="2"/>
        <v>0</v>
      </c>
      <c r="H61" s="58">
        <f t="shared" si="3"/>
        <v>9608.7800000000007</v>
      </c>
    </row>
    <row r="62" spans="1:8" ht="22.5" customHeight="1">
      <c r="A62" s="23"/>
      <c r="B62" s="34"/>
      <c r="C62" s="21"/>
      <c r="D62" s="24"/>
      <c r="E62" s="24"/>
      <c r="F62" s="25"/>
      <c r="G62" s="57">
        <f t="shared" si="2"/>
        <v>0</v>
      </c>
      <c r="H62" s="58">
        <f t="shared" si="3"/>
        <v>9608.7800000000007</v>
      </c>
    </row>
    <row r="63" spans="1:8" ht="22.5" customHeight="1">
      <c r="A63" s="23"/>
      <c r="B63" s="34"/>
      <c r="C63" s="21"/>
      <c r="D63" s="24"/>
      <c r="E63" s="24"/>
      <c r="F63" s="25"/>
      <c r="G63" s="57">
        <f t="shared" si="2"/>
        <v>0</v>
      </c>
      <c r="H63" s="58">
        <f t="shared" si="3"/>
        <v>9608.7800000000007</v>
      </c>
    </row>
    <row r="64" spans="1:8" ht="22.5" customHeight="1">
      <c r="A64" s="23"/>
      <c r="B64" s="34"/>
      <c r="C64" s="21"/>
      <c r="D64" s="24"/>
      <c r="E64" s="24"/>
      <c r="F64" s="25"/>
      <c r="G64" s="57">
        <f t="shared" si="2"/>
        <v>0</v>
      </c>
      <c r="H64" s="58">
        <f t="shared" si="3"/>
        <v>9608.7800000000007</v>
      </c>
    </row>
    <row r="65" spans="1:8" ht="22.5" customHeight="1">
      <c r="A65" s="23"/>
      <c r="B65" s="34"/>
      <c r="C65" s="21"/>
      <c r="D65" s="24"/>
      <c r="E65" s="24"/>
      <c r="F65" s="25"/>
      <c r="G65" s="57">
        <f t="shared" si="2"/>
        <v>0</v>
      </c>
      <c r="H65" s="58">
        <f t="shared" si="3"/>
        <v>9608.7800000000007</v>
      </c>
    </row>
    <row r="66" spans="1:8" ht="22.5" customHeight="1">
      <c r="A66" s="23"/>
      <c r="B66" s="34"/>
      <c r="C66" s="21"/>
      <c r="D66" s="24"/>
      <c r="E66" s="24"/>
      <c r="F66" s="25"/>
      <c r="G66" s="57">
        <f t="shared" si="2"/>
        <v>0</v>
      </c>
      <c r="H66" s="58">
        <f t="shared" si="3"/>
        <v>9608.7800000000007</v>
      </c>
    </row>
    <row r="67" spans="1:8" ht="22.5" customHeight="1">
      <c r="A67" s="23"/>
      <c r="B67" s="34"/>
      <c r="C67" s="21"/>
      <c r="D67" s="24"/>
      <c r="E67" s="24"/>
      <c r="F67" s="25"/>
      <c r="G67" s="57">
        <f t="shared" si="2"/>
        <v>0</v>
      </c>
      <c r="H67" s="58">
        <f t="shared" si="3"/>
        <v>9608.7800000000007</v>
      </c>
    </row>
    <row r="68" spans="1:8" ht="22.5" customHeight="1">
      <c r="A68" s="23"/>
      <c r="B68" s="34"/>
      <c r="C68" s="21"/>
      <c r="D68" s="24"/>
      <c r="E68" s="24"/>
      <c r="F68" s="25"/>
      <c r="G68" s="57">
        <f t="shared" si="2"/>
        <v>0</v>
      </c>
      <c r="H68" s="58">
        <f t="shared" si="3"/>
        <v>9608.7800000000007</v>
      </c>
    </row>
    <row r="69" spans="1:8" ht="22.5" customHeight="1">
      <c r="A69" s="23"/>
      <c r="B69" s="34"/>
      <c r="C69" s="21"/>
      <c r="D69" s="24"/>
      <c r="E69" s="24"/>
      <c r="F69" s="25"/>
      <c r="G69" s="57">
        <f t="shared" si="2"/>
        <v>0</v>
      </c>
      <c r="H69" s="58">
        <f t="shared" si="3"/>
        <v>9608.7800000000007</v>
      </c>
    </row>
    <row r="70" spans="1:8" ht="22.5" customHeight="1">
      <c r="A70" s="23"/>
      <c r="B70" s="34"/>
      <c r="C70" s="21"/>
      <c r="D70" s="24"/>
      <c r="E70" s="24"/>
      <c r="F70" s="25"/>
      <c r="G70" s="57">
        <f t="shared" si="2"/>
        <v>0</v>
      </c>
      <c r="H70" s="58">
        <f t="shared" si="3"/>
        <v>9608.7800000000007</v>
      </c>
    </row>
    <row r="71" spans="1:8" ht="22.5" customHeight="1">
      <c r="A71" s="23"/>
      <c r="B71" s="34"/>
      <c r="C71" s="21"/>
      <c r="D71" s="24"/>
      <c r="E71" s="24"/>
      <c r="F71" s="25"/>
      <c r="G71" s="57">
        <f t="shared" ref="G71:G102" si="4">IF(A71="Despesas",E71*-1,IF(A71="Receitas",E71,0))</f>
        <v>0</v>
      </c>
      <c r="H71" s="58">
        <f t="shared" ref="H71:H102" si="5">H70+G71</f>
        <v>9608.7800000000007</v>
      </c>
    </row>
    <row r="72" spans="1:8" ht="22.5" customHeight="1">
      <c r="A72" s="23"/>
      <c r="B72" s="34"/>
      <c r="C72" s="21"/>
      <c r="D72" s="24"/>
      <c r="E72" s="24"/>
      <c r="F72" s="25"/>
      <c r="G72" s="57">
        <f t="shared" si="4"/>
        <v>0</v>
      </c>
      <c r="H72" s="58">
        <f t="shared" si="5"/>
        <v>9608.7800000000007</v>
      </c>
    </row>
    <row r="73" spans="1:8" ht="22.5" customHeight="1">
      <c r="A73" s="23"/>
      <c r="B73" s="34"/>
      <c r="C73" s="21"/>
      <c r="D73" s="24"/>
      <c r="E73" s="24"/>
      <c r="F73" s="25"/>
      <c r="G73" s="57">
        <f t="shared" si="4"/>
        <v>0</v>
      </c>
      <c r="H73" s="58">
        <f t="shared" si="5"/>
        <v>9608.7800000000007</v>
      </c>
    </row>
    <row r="74" spans="1:8" ht="22.5" customHeight="1">
      <c r="A74" s="23"/>
      <c r="B74" s="34"/>
      <c r="C74" s="21"/>
      <c r="D74" s="24"/>
      <c r="E74" s="24"/>
      <c r="F74" s="25"/>
      <c r="G74" s="57">
        <f t="shared" si="4"/>
        <v>0</v>
      </c>
      <c r="H74" s="58">
        <f t="shared" si="5"/>
        <v>9608.7800000000007</v>
      </c>
    </row>
    <row r="75" spans="1:8" ht="22.5" customHeight="1">
      <c r="A75" s="23"/>
      <c r="B75" s="34"/>
      <c r="C75" s="21"/>
      <c r="D75" s="24"/>
      <c r="E75" s="24"/>
      <c r="F75" s="25"/>
      <c r="G75" s="57">
        <f t="shared" si="4"/>
        <v>0</v>
      </c>
      <c r="H75" s="58">
        <f t="shared" si="5"/>
        <v>9608.7800000000007</v>
      </c>
    </row>
    <row r="76" spans="1:8" ht="22.5" customHeight="1">
      <c r="A76" s="23"/>
      <c r="B76" s="34"/>
      <c r="C76" s="21"/>
      <c r="D76" s="24"/>
      <c r="E76" s="24"/>
      <c r="F76" s="25"/>
      <c r="G76" s="57">
        <f t="shared" si="4"/>
        <v>0</v>
      </c>
      <c r="H76" s="58">
        <f t="shared" si="5"/>
        <v>9608.7800000000007</v>
      </c>
    </row>
    <row r="77" spans="1:8" ht="22.5" customHeight="1">
      <c r="A77" s="23"/>
      <c r="B77" s="34"/>
      <c r="C77" s="21"/>
      <c r="D77" s="24"/>
      <c r="E77" s="24"/>
      <c r="F77" s="25"/>
      <c r="G77" s="57">
        <f t="shared" si="4"/>
        <v>0</v>
      </c>
      <c r="H77" s="58">
        <f t="shared" si="5"/>
        <v>9608.7800000000007</v>
      </c>
    </row>
    <row r="78" spans="1:8" ht="22.5" customHeight="1">
      <c r="A78" s="23"/>
      <c r="B78" s="34"/>
      <c r="C78" s="21"/>
      <c r="D78" s="24"/>
      <c r="E78" s="24"/>
      <c r="F78" s="25"/>
      <c r="G78" s="57">
        <f t="shared" si="4"/>
        <v>0</v>
      </c>
      <c r="H78" s="58">
        <f t="shared" si="5"/>
        <v>9608.7800000000007</v>
      </c>
    </row>
    <row r="79" spans="1:8" ht="22.5" customHeight="1">
      <c r="A79" s="23"/>
      <c r="B79" s="34"/>
      <c r="C79" s="21"/>
      <c r="D79" s="24"/>
      <c r="E79" s="24"/>
      <c r="F79" s="25"/>
      <c r="G79" s="57">
        <f t="shared" si="4"/>
        <v>0</v>
      </c>
      <c r="H79" s="58">
        <f t="shared" si="5"/>
        <v>9608.7800000000007</v>
      </c>
    </row>
    <row r="80" spans="1:8" ht="22.5" customHeight="1">
      <c r="A80" s="23"/>
      <c r="B80" s="34"/>
      <c r="C80" s="21"/>
      <c r="D80" s="24"/>
      <c r="E80" s="24"/>
      <c r="F80" s="25"/>
      <c r="G80" s="57">
        <f t="shared" si="4"/>
        <v>0</v>
      </c>
      <c r="H80" s="58">
        <f t="shared" si="5"/>
        <v>9608.7800000000007</v>
      </c>
    </row>
    <row r="81" spans="1:8" ht="22.5" customHeight="1">
      <c r="A81" s="23"/>
      <c r="B81" s="34"/>
      <c r="C81" s="21"/>
      <c r="D81" s="24"/>
      <c r="E81" s="24"/>
      <c r="F81" s="25"/>
      <c r="G81" s="57">
        <f t="shared" si="4"/>
        <v>0</v>
      </c>
      <c r="H81" s="58">
        <f t="shared" si="5"/>
        <v>9608.7800000000007</v>
      </c>
    </row>
    <row r="82" spans="1:8" ht="22.5" customHeight="1">
      <c r="A82" s="23"/>
      <c r="B82" s="34"/>
      <c r="C82" s="21"/>
      <c r="D82" s="24"/>
      <c r="E82" s="24"/>
      <c r="F82" s="25"/>
      <c r="G82" s="57">
        <f t="shared" si="4"/>
        <v>0</v>
      </c>
      <c r="H82" s="58">
        <f t="shared" si="5"/>
        <v>9608.7800000000007</v>
      </c>
    </row>
    <row r="83" spans="1:8" ht="22.5" customHeight="1">
      <c r="A83" s="23"/>
      <c r="B83" s="34"/>
      <c r="C83" s="21"/>
      <c r="D83" s="24"/>
      <c r="E83" s="24"/>
      <c r="F83" s="25"/>
      <c r="G83" s="57">
        <f t="shared" si="4"/>
        <v>0</v>
      </c>
      <c r="H83" s="58">
        <f t="shared" si="5"/>
        <v>9608.7800000000007</v>
      </c>
    </row>
    <row r="84" spans="1:8" ht="22.5" customHeight="1">
      <c r="A84" s="23"/>
      <c r="B84" s="34"/>
      <c r="C84" s="21"/>
      <c r="D84" s="24"/>
      <c r="E84" s="24"/>
      <c r="F84" s="25"/>
      <c r="G84" s="57">
        <f t="shared" si="4"/>
        <v>0</v>
      </c>
      <c r="H84" s="58">
        <f t="shared" si="5"/>
        <v>9608.7800000000007</v>
      </c>
    </row>
    <row r="85" spans="1:8" ht="22.5" customHeight="1">
      <c r="A85" s="23"/>
      <c r="B85" s="34"/>
      <c r="C85" s="21"/>
      <c r="D85" s="24"/>
      <c r="E85" s="24"/>
      <c r="F85" s="25"/>
      <c r="G85" s="57">
        <f t="shared" si="4"/>
        <v>0</v>
      </c>
      <c r="H85" s="58">
        <f t="shared" si="5"/>
        <v>9608.7800000000007</v>
      </c>
    </row>
    <row r="86" spans="1:8" ht="22.5" customHeight="1">
      <c r="A86" s="23"/>
      <c r="B86" s="34"/>
      <c r="C86" s="21"/>
      <c r="D86" s="24"/>
      <c r="E86" s="24"/>
      <c r="F86" s="25"/>
      <c r="G86" s="57">
        <f t="shared" si="4"/>
        <v>0</v>
      </c>
      <c r="H86" s="58">
        <f t="shared" si="5"/>
        <v>9608.7800000000007</v>
      </c>
    </row>
    <row r="87" spans="1:8" ht="22.5" customHeight="1">
      <c r="A87" s="23"/>
      <c r="B87" s="34"/>
      <c r="C87" s="21"/>
      <c r="D87" s="24"/>
      <c r="E87" s="24"/>
      <c r="F87" s="25"/>
      <c r="G87" s="57">
        <f t="shared" si="4"/>
        <v>0</v>
      </c>
      <c r="H87" s="58">
        <f t="shared" si="5"/>
        <v>9608.7800000000007</v>
      </c>
    </row>
    <row r="88" spans="1:8" ht="22.5" customHeight="1">
      <c r="A88" s="23"/>
      <c r="B88" s="34"/>
      <c r="C88" s="21"/>
      <c r="D88" s="24"/>
      <c r="E88" s="24"/>
      <c r="F88" s="25"/>
      <c r="G88" s="57">
        <f t="shared" si="4"/>
        <v>0</v>
      </c>
      <c r="H88" s="58">
        <f t="shared" si="5"/>
        <v>9608.7800000000007</v>
      </c>
    </row>
    <row r="89" spans="1:8" ht="22.5" customHeight="1">
      <c r="A89" s="23"/>
      <c r="B89" s="34"/>
      <c r="C89" s="21"/>
      <c r="D89" s="24"/>
      <c r="E89" s="24"/>
      <c r="F89" s="25"/>
      <c r="G89" s="57">
        <f t="shared" si="4"/>
        <v>0</v>
      </c>
      <c r="H89" s="58">
        <f t="shared" si="5"/>
        <v>9608.7800000000007</v>
      </c>
    </row>
    <row r="90" spans="1:8" ht="22.5" customHeight="1">
      <c r="A90" s="23"/>
      <c r="B90" s="34"/>
      <c r="C90" s="21"/>
      <c r="D90" s="24"/>
      <c r="E90" s="24"/>
      <c r="F90" s="25"/>
      <c r="G90" s="57">
        <f t="shared" si="4"/>
        <v>0</v>
      </c>
      <c r="H90" s="58">
        <f t="shared" si="5"/>
        <v>9608.7800000000007</v>
      </c>
    </row>
    <row r="91" spans="1:8" ht="22.5" customHeight="1">
      <c r="A91" s="23"/>
      <c r="B91" s="34"/>
      <c r="C91" s="21"/>
      <c r="D91" s="24"/>
      <c r="E91" s="24"/>
      <c r="F91" s="25"/>
      <c r="G91" s="57">
        <f t="shared" si="4"/>
        <v>0</v>
      </c>
      <c r="H91" s="58">
        <f t="shared" si="5"/>
        <v>9608.7800000000007</v>
      </c>
    </row>
    <row r="92" spans="1:8" ht="22.5" customHeight="1">
      <c r="A92" s="23"/>
      <c r="B92" s="34"/>
      <c r="C92" s="21"/>
      <c r="D92" s="24"/>
      <c r="E92" s="24"/>
      <c r="F92" s="25"/>
      <c r="G92" s="57">
        <f t="shared" si="4"/>
        <v>0</v>
      </c>
      <c r="H92" s="58">
        <f t="shared" si="5"/>
        <v>9608.7800000000007</v>
      </c>
    </row>
    <row r="93" spans="1:8" ht="22.5" customHeight="1">
      <c r="A93" s="23"/>
      <c r="B93" s="34"/>
      <c r="C93" s="21"/>
      <c r="D93" s="24"/>
      <c r="E93" s="24"/>
      <c r="F93" s="25"/>
      <c r="G93" s="57">
        <f t="shared" si="4"/>
        <v>0</v>
      </c>
      <c r="H93" s="58">
        <f t="shared" si="5"/>
        <v>9608.7800000000007</v>
      </c>
    </row>
    <row r="94" spans="1:8" ht="22.5" customHeight="1">
      <c r="A94" s="23"/>
      <c r="B94" s="34"/>
      <c r="C94" s="21"/>
      <c r="D94" s="24"/>
      <c r="E94" s="24"/>
      <c r="F94" s="25"/>
      <c r="G94" s="57">
        <f t="shared" si="4"/>
        <v>0</v>
      </c>
      <c r="H94" s="58">
        <f t="shared" si="5"/>
        <v>9608.7800000000007</v>
      </c>
    </row>
    <row r="95" spans="1:8" ht="22.5" customHeight="1">
      <c r="A95" s="23"/>
      <c r="B95" s="34"/>
      <c r="C95" s="21"/>
      <c r="D95" s="24"/>
      <c r="E95" s="24"/>
      <c r="F95" s="25"/>
      <c r="G95" s="57">
        <f t="shared" si="4"/>
        <v>0</v>
      </c>
      <c r="H95" s="58">
        <f t="shared" si="5"/>
        <v>9608.7800000000007</v>
      </c>
    </row>
    <row r="96" spans="1:8" ht="22.5" customHeight="1">
      <c r="A96" s="23"/>
      <c r="B96" s="34"/>
      <c r="C96" s="21"/>
      <c r="D96" s="24"/>
      <c r="E96" s="24"/>
      <c r="F96" s="25"/>
      <c r="G96" s="57">
        <f t="shared" si="4"/>
        <v>0</v>
      </c>
      <c r="H96" s="58">
        <f t="shared" si="5"/>
        <v>9608.7800000000007</v>
      </c>
    </row>
    <row r="97" spans="1:8" ht="22.5" customHeight="1">
      <c r="A97" s="23"/>
      <c r="B97" s="34"/>
      <c r="C97" s="21"/>
      <c r="D97" s="24"/>
      <c r="E97" s="24"/>
      <c r="F97" s="25"/>
      <c r="G97" s="57">
        <f t="shared" si="4"/>
        <v>0</v>
      </c>
      <c r="H97" s="58">
        <f t="shared" si="5"/>
        <v>9608.7800000000007</v>
      </c>
    </row>
    <row r="98" spans="1:8" ht="22.5" customHeight="1">
      <c r="A98" s="23"/>
      <c r="B98" s="34"/>
      <c r="C98" s="21"/>
      <c r="D98" s="24"/>
      <c r="E98" s="24"/>
      <c r="F98" s="25"/>
      <c r="G98" s="57">
        <f t="shared" si="4"/>
        <v>0</v>
      </c>
      <c r="H98" s="58">
        <f t="shared" si="5"/>
        <v>9608.7800000000007</v>
      </c>
    </row>
    <row r="99" spans="1:8" ht="22.5" customHeight="1">
      <c r="A99" s="23"/>
      <c r="B99" s="34"/>
      <c r="C99" s="21"/>
      <c r="D99" s="24"/>
      <c r="E99" s="24"/>
      <c r="F99" s="25"/>
      <c r="G99" s="57">
        <f t="shared" si="4"/>
        <v>0</v>
      </c>
      <c r="H99" s="58">
        <f t="shared" si="5"/>
        <v>9608.7800000000007</v>
      </c>
    </row>
    <row r="100" spans="1:8" ht="22.5" customHeight="1">
      <c r="A100" s="23"/>
      <c r="B100" s="34"/>
      <c r="C100" s="21"/>
      <c r="D100" s="24"/>
      <c r="E100" s="24"/>
      <c r="F100" s="25"/>
      <c r="G100" s="57">
        <f t="shared" si="4"/>
        <v>0</v>
      </c>
      <c r="H100" s="58">
        <f t="shared" si="5"/>
        <v>9608.7800000000007</v>
      </c>
    </row>
    <row r="101" spans="1:8" ht="22.5" customHeight="1">
      <c r="A101" s="23"/>
      <c r="B101" s="34"/>
      <c r="C101" s="21"/>
      <c r="D101" s="24"/>
      <c r="E101" s="24"/>
      <c r="F101" s="25"/>
      <c r="G101" s="57">
        <f t="shared" si="4"/>
        <v>0</v>
      </c>
      <c r="H101" s="58">
        <f t="shared" si="5"/>
        <v>9608.7800000000007</v>
      </c>
    </row>
    <row r="102" spans="1:8" ht="22.5" customHeight="1">
      <c r="A102" s="23"/>
      <c r="B102" s="34"/>
      <c r="C102" s="21"/>
      <c r="D102" s="24"/>
      <c r="E102" s="24"/>
      <c r="F102" s="25"/>
      <c r="G102" s="57">
        <f t="shared" si="4"/>
        <v>0</v>
      </c>
      <c r="H102" s="58">
        <f t="shared" si="5"/>
        <v>9608.7800000000007</v>
      </c>
    </row>
    <row r="103" spans="1:8" ht="22.5" customHeight="1">
      <c r="A103" s="23"/>
      <c r="B103" s="34"/>
      <c r="C103" s="21"/>
      <c r="D103" s="24"/>
      <c r="E103" s="24"/>
      <c r="F103" s="25"/>
      <c r="G103" s="57">
        <f t="shared" ref="G103:G134" si="6">IF(A103="Despesas",E103*-1,IF(A103="Receitas",E103,0))</f>
        <v>0</v>
      </c>
      <c r="H103" s="58">
        <f t="shared" ref="H103:H134" si="7">H102+G103</f>
        <v>9608.7800000000007</v>
      </c>
    </row>
    <row r="104" spans="1:8" ht="22.5" customHeight="1">
      <c r="A104" s="23"/>
      <c r="B104" s="34"/>
      <c r="C104" s="21"/>
      <c r="D104" s="24"/>
      <c r="E104" s="24"/>
      <c r="F104" s="25"/>
      <c r="G104" s="57">
        <f t="shared" si="6"/>
        <v>0</v>
      </c>
      <c r="H104" s="58">
        <f t="shared" si="7"/>
        <v>9608.7800000000007</v>
      </c>
    </row>
    <row r="105" spans="1:8" ht="22.5" customHeight="1">
      <c r="A105" s="23"/>
      <c r="B105" s="34"/>
      <c r="C105" s="21"/>
      <c r="D105" s="24"/>
      <c r="E105" s="24"/>
      <c r="F105" s="25"/>
      <c r="G105" s="57">
        <f t="shared" si="6"/>
        <v>0</v>
      </c>
      <c r="H105" s="58">
        <f t="shared" si="7"/>
        <v>9608.7800000000007</v>
      </c>
    </row>
    <row r="106" spans="1:8" ht="22.5" customHeight="1">
      <c r="A106" s="23"/>
      <c r="B106" s="34"/>
      <c r="C106" s="21"/>
      <c r="D106" s="24"/>
      <c r="E106" s="24"/>
      <c r="F106" s="25"/>
      <c r="G106" s="57">
        <f t="shared" si="6"/>
        <v>0</v>
      </c>
      <c r="H106" s="58">
        <f t="shared" si="7"/>
        <v>9608.7800000000007</v>
      </c>
    </row>
    <row r="107" spans="1:8" ht="22.5" customHeight="1">
      <c r="A107" s="23"/>
      <c r="B107" s="34"/>
      <c r="C107" s="21"/>
      <c r="D107" s="24"/>
      <c r="E107" s="24"/>
      <c r="F107" s="25"/>
      <c r="G107" s="57">
        <f t="shared" si="6"/>
        <v>0</v>
      </c>
      <c r="H107" s="58">
        <f t="shared" si="7"/>
        <v>9608.7800000000007</v>
      </c>
    </row>
    <row r="108" spans="1:8" ht="22.5" customHeight="1">
      <c r="A108" s="23"/>
      <c r="B108" s="34"/>
      <c r="C108" s="21"/>
      <c r="D108" s="24"/>
      <c r="E108" s="24"/>
      <c r="F108" s="25"/>
      <c r="G108" s="57">
        <f t="shared" si="6"/>
        <v>0</v>
      </c>
      <c r="H108" s="58">
        <f t="shared" si="7"/>
        <v>9608.7800000000007</v>
      </c>
    </row>
    <row r="109" spans="1:8" ht="22.5" customHeight="1">
      <c r="A109" s="23"/>
      <c r="B109" s="34"/>
      <c r="C109" s="21"/>
      <c r="D109" s="24"/>
      <c r="E109" s="24"/>
      <c r="F109" s="25"/>
      <c r="G109" s="57">
        <f t="shared" si="6"/>
        <v>0</v>
      </c>
      <c r="H109" s="58">
        <f t="shared" si="7"/>
        <v>9608.7800000000007</v>
      </c>
    </row>
    <row r="110" spans="1:8" ht="22.5" customHeight="1">
      <c r="A110" s="23"/>
      <c r="B110" s="34"/>
      <c r="C110" s="21"/>
      <c r="D110" s="24"/>
      <c r="E110" s="24"/>
      <c r="F110" s="25"/>
      <c r="G110" s="57">
        <f t="shared" si="6"/>
        <v>0</v>
      </c>
      <c r="H110" s="58">
        <f t="shared" si="7"/>
        <v>9608.7800000000007</v>
      </c>
    </row>
    <row r="111" spans="1:8" ht="22.5" customHeight="1">
      <c r="A111" s="23"/>
      <c r="B111" s="34"/>
      <c r="C111" s="21"/>
      <c r="D111" s="24"/>
      <c r="E111" s="24"/>
      <c r="F111" s="25"/>
      <c r="G111" s="57">
        <f t="shared" si="6"/>
        <v>0</v>
      </c>
      <c r="H111" s="58">
        <f t="shared" si="7"/>
        <v>9608.7800000000007</v>
      </c>
    </row>
    <row r="112" spans="1:8" ht="22.5" customHeight="1">
      <c r="A112" s="23"/>
      <c r="B112" s="34"/>
      <c r="C112" s="21"/>
      <c r="D112" s="24"/>
      <c r="E112" s="24"/>
      <c r="F112" s="25"/>
      <c r="G112" s="57">
        <f t="shared" si="6"/>
        <v>0</v>
      </c>
      <c r="H112" s="58">
        <f t="shared" si="7"/>
        <v>9608.7800000000007</v>
      </c>
    </row>
    <row r="113" spans="1:8" ht="22.5" customHeight="1">
      <c r="A113" s="23"/>
      <c r="B113" s="34"/>
      <c r="C113" s="21"/>
      <c r="D113" s="24"/>
      <c r="E113" s="24"/>
      <c r="F113" s="25"/>
      <c r="G113" s="57">
        <f t="shared" si="6"/>
        <v>0</v>
      </c>
      <c r="H113" s="58">
        <f t="shared" si="7"/>
        <v>9608.7800000000007</v>
      </c>
    </row>
    <row r="114" spans="1:8" ht="22.5" customHeight="1">
      <c r="A114" s="23"/>
      <c r="B114" s="34"/>
      <c r="C114" s="21"/>
      <c r="D114" s="24"/>
      <c r="E114" s="24"/>
      <c r="F114" s="25"/>
      <c r="G114" s="57">
        <f t="shared" si="6"/>
        <v>0</v>
      </c>
      <c r="H114" s="58">
        <f t="shared" si="7"/>
        <v>9608.7800000000007</v>
      </c>
    </row>
    <row r="115" spans="1:8" ht="22.5" customHeight="1">
      <c r="A115" s="23"/>
      <c r="B115" s="34"/>
      <c r="C115" s="21"/>
      <c r="D115" s="24"/>
      <c r="E115" s="24"/>
      <c r="F115" s="25"/>
      <c r="G115" s="57">
        <f t="shared" si="6"/>
        <v>0</v>
      </c>
      <c r="H115" s="58">
        <f t="shared" si="7"/>
        <v>9608.7800000000007</v>
      </c>
    </row>
    <row r="116" spans="1:8" ht="22.5" customHeight="1">
      <c r="A116" s="23"/>
      <c r="B116" s="34"/>
      <c r="C116" s="21"/>
      <c r="D116" s="24"/>
      <c r="E116" s="24"/>
      <c r="F116" s="25"/>
      <c r="G116" s="57">
        <f t="shared" si="6"/>
        <v>0</v>
      </c>
      <c r="H116" s="58">
        <f t="shared" si="7"/>
        <v>9608.7800000000007</v>
      </c>
    </row>
    <row r="117" spans="1:8" ht="22.5" customHeight="1">
      <c r="A117" s="23"/>
      <c r="B117" s="34"/>
      <c r="C117" s="21"/>
      <c r="D117" s="24"/>
      <c r="E117" s="24"/>
      <c r="F117" s="25"/>
      <c r="G117" s="57">
        <f t="shared" si="6"/>
        <v>0</v>
      </c>
      <c r="H117" s="58">
        <f t="shared" si="7"/>
        <v>9608.7800000000007</v>
      </c>
    </row>
    <row r="118" spans="1:8" ht="22.5" customHeight="1">
      <c r="A118" s="23"/>
      <c r="B118" s="34"/>
      <c r="C118" s="21"/>
      <c r="D118" s="24"/>
      <c r="E118" s="24"/>
      <c r="F118" s="25"/>
      <c r="G118" s="57">
        <f t="shared" si="6"/>
        <v>0</v>
      </c>
      <c r="H118" s="58">
        <f t="shared" si="7"/>
        <v>9608.7800000000007</v>
      </c>
    </row>
    <row r="119" spans="1:8" ht="22.5" customHeight="1">
      <c r="A119" s="23"/>
      <c r="B119" s="34"/>
      <c r="C119" s="21"/>
      <c r="D119" s="24"/>
      <c r="E119" s="24"/>
      <c r="F119" s="25"/>
      <c r="G119" s="57">
        <f t="shared" si="6"/>
        <v>0</v>
      </c>
      <c r="H119" s="58">
        <f t="shared" si="7"/>
        <v>9608.7800000000007</v>
      </c>
    </row>
    <row r="120" spans="1:8" ht="22.5" customHeight="1">
      <c r="A120" s="23"/>
      <c r="B120" s="34"/>
      <c r="C120" s="21"/>
      <c r="D120" s="24"/>
      <c r="E120" s="24"/>
      <c r="F120" s="25"/>
      <c r="G120" s="57">
        <f t="shared" si="6"/>
        <v>0</v>
      </c>
      <c r="H120" s="58">
        <f t="shared" si="7"/>
        <v>9608.7800000000007</v>
      </c>
    </row>
    <row r="121" spans="1:8" ht="22.5" customHeight="1">
      <c r="A121" s="23"/>
      <c r="B121" s="34"/>
      <c r="C121" s="21"/>
      <c r="D121" s="24"/>
      <c r="E121" s="24"/>
      <c r="F121" s="25"/>
      <c r="G121" s="57">
        <f t="shared" si="6"/>
        <v>0</v>
      </c>
      <c r="H121" s="58">
        <f t="shared" si="7"/>
        <v>9608.7800000000007</v>
      </c>
    </row>
    <row r="122" spans="1:8" ht="22.5" customHeight="1">
      <c r="A122" s="23"/>
      <c r="B122" s="34"/>
      <c r="C122" s="21"/>
      <c r="D122" s="24"/>
      <c r="E122" s="24"/>
      <c r="F122" s="25"/>
      <c r="G122" s="57">
        <f t="shared" si="6"/>
        <v>0</v>
      </c>
      <c r="H122" s="58">
        <f t="shared" si="7"/>
        <v>9608.7800000000007</v>
      </c>
    </row>
    <row r="123" spans="1:8" ht="22.5" customHeight="1">
      <c r="A123" s="23"/>
      <c r="B123" s="34"/>
      <c r="C123" s="21"/>
      <c r="D123" s="24"/>
      <c r="E123" s="24"/>
      <c r="F123" s="25"/>
      <c r="G123" s="57">
        <f t="shared" si="6"/>
        <v>0</v>
      </c>
      <c r="H123" s="58">
        <f t="shared" si="7"/>
        <v>9608.7800000000007</v>
      </c>
    </row>
    <row r="124" spans="1:8" ht="22.5" customHeight="1">
      <c r="A124" s="23"/>
      <c r="B124" s="34"/>
      <c r="C124" s="21"/>
      <c r="D124" s="24"/>
      <c r="E124" s="24"/>
      <c r="F124" s="25"/>
      <c r="G124" s="57">
        <f t="shared" si="6"/>
        <v>0</v>
      </c>
      <c r="H124" s="58">
        <f t="shared" si="7"/>
        <v>9608.7800000000007</v>
      </c>
    </row>
    <row r="125" spans="1:8" ht="22.5" customHeight="1">
      <c r="A125" s="23"/>
      <c r="B125" s="34"/>
      <c r="C125" s="21"/>
      <c r="D125" s="24"/>
      <c r="E125" s="24"/>
      <c r="F125" s="25"/>
      <c r="G125" s="57">
        <f t="shared" si="6"/>
        <v>0</v>
      </c>
      <c r="H125" s="58">
        <f t="shared" si="7"/>
        <v>9608.7800000000007</v>
      </c>
    </row>
    <row r="126" spans="1:8" ht="22.5" customHeight="1">
      <c r="A126" s="23"/>
      <c r="B126" s="34"/>
      <c r="C126" s="21"/>
      <c r="D126" s="24"/>
      <c r="E126" s="24"/>
      <c r="F126" s="25"/>
      <c r="G126" s="57">
        <f t="shared" si="6"/>
        <v>0</v>
      </c>
      <c r="H126" s="58">
        <f t="shared" si="7"/>
        <v>9608.7800000000007</v>
      </c>
    </row>
    <row r="127" spans="1:8" ht="22.5" customHeight="1">
      <c r="A127" s="23"/>
      <c r="B127" s="34"/>
      <c r="C127" s="21"/>
      <c r="D127" s="24"/>
      <c r="E127" s="24"/>
      <c r="F127" s="25"/>
      <c r="G127" s="57">
        <f t="shared" si="6"/>
        <v>0</v>
      </c>
      <c r="H127" s="58">
        <f t="shared" si="7"/>
        <v>9608.7800000000007</v>
      </c>
    </row>
    <row r="128" spans="1:8" ht="22.5" customHeight="1">
      <c r="A128" s="23"/>
      <c r="B128" s="34"/>
      <c r="C128" s="21"/>
      <c r="D128" s="24"/>
      <c r="E128" s="24"/>
      <c r="F128" s="25"/>
      <c r="G128" s="57">
        <f t="shared" si="6"/>
        <v>0</v>
      </c>
      <c r="H128" s="58">
        <f t="shared" si="7"/>
        <v>9608.7800000000007</v>
      </c>
    </row>
    <row r="129" spans="1:8" ht="22.5" customHeight="1">
      <c r="A129" s="23"/>
      <c r="B129" s="34"/>
      <c r="C129" s="21"/>
      <c r="D129" s="24"/>
      <c r="E129" s="24"/>
      <c r="F129" s="25"/>
      <c r="G129" s="57">
        <f t="shared" si="6"/>
        <v>0</v>
      </c>
      <c r="H129" s="58">
        <f t="shared" si="7"/>
        <v>9608.7800000000007</v>
      </c>
    </row>
    <row r="130" spans="1:8" ht="22.5" customHeight="1">
      <c r="A130" s="23"/>
      <c r="B130" s="34"/>
      <c r="C130" s="21"/>
      <c r="D130" s="24"/>
      <c r="E130" s="24"/>
      <c r="F130" s="25"/>
      <c r="G130" s="57">
        <f t="shared" si="6"/>
        <v>0</v>
      </c>
      <c r="H130" s="58">
        <f t="shared" si="7"/>
        <v>9608.7800000000007</v>
      </c>
    </row>
    <row r="131" spans="1:8" ht="22.5" customHeight="1">
      <c r="A131" s="23"/>
      <c r="B131" s="34"/>
      <c r="C131" s="21"/>
      <c r="D131" s="24"/>
      <c r="E131" s="24"/>
      <c r="F131" s="25"/>
      <c r="G131" s="57">
        <f t="shared" si="6"/>
        <v>0</v>
      </c>
      <c r="H131" s="58">
        <f t="shared" si="7"/>
        <v>9608.7800000000007</v>
      </c>
    </row>
    <row r="132" spans="1:8" ht="22.5" customHeight="1">
      <c r="A132" s="23"/>
      <c r="B132" s="34"/>
      <c r="C132" s="21"/>
      <c r="D132" s="24"/>
      <c r="E132" s="24"/>
      <c r="F132" s="25"/>
      <c r="G132" s="57">
        <f t="shared" si="6"/>
        <v>0</v>
      </c>
      <c r="H132" s="58">
        <f t="shared" si="7"/>
        <v>9608.7800000000007</v>
      </c>
    </row>
    <row r="133" spans="1:8" ht="22.5" customHeight="1">
      <c r="A133" s="23"/>
      <c r="B133" s="34"/>
      <c r="C133" s="21"/>
      <c r="D133" s="24"/>
      <c r="E133" s="24"/>
      <c r="F133" s="25"/>
      <c r="G133" s="57">
        <f t="shared" si="6"/>
        <v>0</v>
      </c>
      <c r="H133" s="58">
        <f t="shared" si="7"/>
        <v>9608.7800000000007</v>
      </c>
    </row>
    <row r="134" spans="1:8" ht="22.5" customHeight="1">
      <c r="A134" s="23"/>
      <c r="B134" s="34"/>
      <c r="C134" s="21"/>
      <c r="D134" s="24"/>
      <c r="E134" s="24"/>
      <c r="F134" s="25"/>
      <c r="G134" s="57">
        <f t="shared" si="6"/>
        <v>0</v>
      </c>
      <c r="H134" s="58">
        <f t="shared" si="7"/>
        <v>9608.7800000000007</v>
      </c>
    </row>
    <row r="135" spans="1:8" ht="22.5" customHeight="1">
      <c r="A135" s="23"/>
      <c r="B135" s="34"/>
      <c r="C135" s="21"/>
      <c r="D135" s="24"/>
      <c r="E135" s="24"/>
      <c r="F135" s="25"/>
      <c r="G135" s="57">
        <f t="shared" ref="G135:G166" si="8">IF(A135="Despesas",E135*-1,IF(A135="Receitas",E135,0))</f>
        <v>0</v>
      </c>
      <c r="H135" s="58">
        <f t="shared" ref="H135:H166" si="9">H134+G135</f>
        <v>9608.7800000000007</v>
      </c>
    </row>
    <row r="136" spans="1:8" ht="22.5" customHeight="1">
      <c r="A136" s="23"/>
      <c r="B136" s="34"/>
      <c r="C136" s="21"/>
      <c r="D136" s="24"/>
      <c r="E136" s="24"/>
      <c r="F136" s="25"/>
      <c r="G136" s="57">
        <f t="shared" si="8"/>
        <v>0</v>
      </c>
      <c r="H136" s="58">
        <f t="shared" si="9"/>
        <v>9608.7800000000007</v>
      </c>
    </row>
    <row r="137" spans="1:8" ht="22.5" customHeight="1">
      <c r="A137" s="23"/>
      <c r="B137" s="34"/>
      <c r="C137" s="21"/>
      <c r="D137" s="24"/>
      <c r="E137" s="24"/>
      <c r="F137" s="25"/>
      <c r="G137" s="57">
        <f t="shared" si="8"/>
        <v>0</v>
      </c>
      <c r="H137" s="58">
        <f t="shared" si="9"/>
        <v>9608.7800000000007</v>
      </c>
    </row>
    <row r="138" spans="1:8" ht="22.5" customHeight="1">
      <c r="A138" s="23"/>
      <c r="B138" s="34"/>
      <c r="C138" s="21"/>
      <c r="D138" s="24"/>
      <c r="E138" s="24"/>
      <c r="F138" s="25"/>
      <c r="G138" s="57">
        <f t="shared" si="8"/>
        <v>0</v>
      </c>
      <c r="H138" s="58">
        <f t="shared" si="9"/>
        <v>9608.7800000000007</v>
      </c>
    </row>
    <row r="139" spans="1:8" ht="22.5" customHeight="1">
      <c r="A139" s="23"/>
      <c r="B139" s="34"/>
      <c r="C139" s="21"/>
      <c r="D139" s="24"/>
      <c r="E139" s="24"/>
      <c r="F139" s="25"/>
      <c r="G139" s="57">
        <f t="shared" si="8"/>
        <v>0</v>
      </c>
      <c r="H139" s="58">
        <f t="shared" si="9"/>
        <v>9608.7800000000007</v>
      </c>
    </row>
    <row r="140" spans="1:8" ht="22.5" customHeight="1">
      <c r="A140" s="23"/>
      <c r="B140" s="34"/>
      <c r="C140" s="21"/>
      <c r="D140" s="24"/>
      <c r="E140" s="24"/>
      <c r="F140" s="25"/>
      <c r="G140" s="57">
        <f t="shared" si="8"/>
        <v>0</v>
      </c>
      <c r="H140" s="58">
        <f t="shared" si="9"/>
        <v>9608.7800000000007</v>
      </c>
    </row>
    <row r="141" spans="1:8" ht="22.5" customHeight="1">
      <c r="A141" s="23"/>
      <c r="B141" s="34"/>
      <c r="C141" s="21"/>
      <c r="D141" s="24"/>
      <c r="E141" s="24"/>
      <c r="F141" s="25"/>
      <c r="G141" s="57">
        <f t="shared" si="8"/>
        <v>0</v>
      </c>
      <c r="H141" s="58">
        <f t="shared" si="9"/>
        <v>9608.7800000000007</v>
      </c>
    </row>
    <row r="142" spans="1:8" ht="22.5" customHeight="1">
      <c r="A142" s="23"/>
      <c r="B142" s="34"/>
      <c r="C142" s="21"/>
      <c r="D142" s="24"/>
      <c r="E142" s="24"/>
      <c r="F142" s="25"/>
      <c r="G142" s="57">
        <f t="shared" si="8"/>
        <v>0</v>
      </c>
      <c r="H142" s="58">
        <f t="shared" si="9"/>
        <v>9608.7800000000007</v>
      </c>
    </row>
    <row r="143" spans="1:8" ht="22.5" customHeight="1">
      <c r="A143" s="23"/>
      <c r="B143" s="34"/>
      <c r="C143" s="21"/>
      <c r="D143" s="24"/>
      <c r="E143" s="24"/>
      <c r="F143" s="25"/>
      <c r="G143" s="57">
        <f t="shared" si="8"/>
        <v>0</v>
      </c>
      <c r="H143" s="58">
        <f t="shared" ref="H143:H206" si="10">H142+G143</f>
        <v>9608.7800000000007</v>
      </c>
    </row>
    <row r="144" spans="1:8" ht="22.5" customHeight="1">
      <c r="A144" s="23"/>
      <c r="B144" s="34"/>
      <c r="C144" s="21"/>
      <c r="D144" s="24"/>
      <c r="E144" s="24"/>
      <c r="F144" s="25"/>
      <c r="G144" s="57">
        <f t="shared" si="8"/>
        <v>0</v>
      </c>
      <c r="H144" s="58">
        <f t="shared" si="10"/>
        <v>9608.7800000000007</v>
      </c>
    </row>
    <row r="145" spans="1:8" ht="22.5" customHeight="1">
      <c r="A145" s="23"/>
      <c r="B145" s="34"/>
      <c r="C145" s="21"/>
      <c r="D145" s="24"/>
      <c r="E145" s="24"/>
      <c r="F145" s="25"/>
      <c r="G145" s="57">
        <f t="shared" si="8"/>
        <v>0</v>
      </c>
      <c r="H145" s="58">
        <f t="shared" si="10"/>
        <v>9608.7800000000007</v>
      </c>
    </row>
    <row r="146" spans="1:8" ht="22.5" customHeight="1">
      <c r="A146" s="23"/>
      <c r="B146" s="34"/>
      <c r="C146" s="21"/>
      <c r="D146" s="24"/>
      <c r="E146" s="24"/>
      <c r="F146" s="25"/>
      <c r="G146" s="57">
        <f t="shared" si="8"/>
        <v>0</v>
      </c>
      <c r="H146" s="58">
        <f t="shared" si="10"/>
        <v>9608.7800000000007</v>
      </c>
    </row>
    <row r="147" spans="1:8" ht="22.5" customHeight="1">
      <c r="A147" s="23"/>
      <c r="B147" s="34"/>
      <c r="C147" s="21"/>
      <c r="D147" s="24"/>
      <c r="E147" s="24"/>
      <c r="F147" s="25"/>
      <c r="G147" s="57">
        <f t="shared" si="8"/>
        <v>0</v>
      </c>
      <c r="H147" s="58">
        <f t="shared" si="10"/>
        <v>9608.7800000000007</v>
      </c>
    </row>
    <row r="148" spans="1:8" ht="22.5" customHeight="1">
      <c r="A148" s="23"/>
      <c r="B148" s="34"/>
      <c r="C148" s="21"/>
      <c r="D148" s="24"/>
      <c r="E148" s="24"/>
      <c r="F148" s="25"/>
      <c r="G148" s="57">
        <f t="shared" si="8"/>
        <v>0</v>
      </c>
      <c r="H148" s="58">
        <f t="shared" si="10"/>
        <v>9608.7800000000007</v>
      </c>
    </row>
    <row r="149" spans="1:8" ht="22.5" customHeight="1">
      <c r="A149" s="23"/>
      <c r="B149" s="34"/>
      <c r="C149" s="21"/>
      <c r="D149" s="24"/>
      <c r="E149" s="24"/>
      <c r="F149" s="25"/>
      <c r="G149" s="57">
        <f t="shared" si="8"/>
        <v>0</v>
      </c>
      <c r="H149" s="58">
        <f t="shared" si="10"/>
        <v>9608.7800000000007</v>
      </c>
    </row>
    <row r="150" spans="1:8" ht="22.5" customHeight="1">
      <c r="A150" s="23"/>
      <c r="B150" s="34"/>
      <c r="C150" s="21"/>
      <c r="D150" s="24"/>
      <c r="E150" s="24"/>
      <c r="F150" s="25"/>
      <c r="G150" s="57">
        <f t="shared" si="8"/>
        <v>0</v>
      </c>
      <c r="H150" s="58">
        <f t="shared" si="10"/>
        <v>9608.7800000000007</v>
      </c>
    </row>
    <row r="151" spans="1:8" ht="22.5" customHeight="1">
      <c r="A151" s="23"/>
      <c r="B151" s="34"/>
      <c r="C151" s="21"/>
      <c r="D151" s="24"/>
      <c r="E151" s="24"/>
      <c r="F151" s="25"/>
      <c r="G151" s="57">
        <f t="shared" si="8"/>
        <v>0</v>
      </c>
      <c r="H151" s="58">
        <f t="shared" si="10"/>
        <v>9608.7800000000007</v>
      </c>
    </row>
    <row r="152" spans="1:8" ht="22.5" customHeight="1">
      <c r="A152" s="23"/>
      <c r="B152" s="34"/>
      <c r="C152" s="21"/>
      <c r="D152" s="24"/>
      <c r="E152" s="24"/>
      <c r="F152" s="25"/>
      <c r="G152" s="57">
        <f t="shared" si="8"/>
        <v>0</v>
      </c>
      <c r="H152" s="58">
        <f t="shared" si="10"/>
        <v>9608.7800000000007</v>
      </c>
    </row>
    <row r="153" spans="1:8" ht="22.5" customHeight="1">
      <c r="A153" s="23"/>
      <c r="B153" s="34"/>
      <c r="C153" s="21"/>
      <c r="D153" s="24"/>
      <c r="E153" s="24"/>
      <c r="F153" s="25"/>
      <c r="G153" s="57">
        <f t="shared" si="8"/>
        <v>0</v>
      </c>
      <c r="H153" s="58">
        <f t="shared" si="10"/>
        <v>9608.7800000000007</v>
      </c>
    </row>
    <row r="154" spans="1:8" ht="22.5" customHeight="1">
      <c r="A154" s="23"/>
      <c r="B154" s="34"/>
      <c r="C154" s="21"/>
      <c r="D154" s="24"/>
      <c r="E154" s="24"/>
      <c r="F154" s="25"/>
      <c r="G154" s="57">
        <f t="shared" si="8"/>
        <v>0</v>
      </c>
      <c r="H154" s="58">
        <f t="shared" si="10"/>
        <v>9608.7800000000007</v>
      </c>
    </row>
    <row r="155" spans="1:8" ht="22.5" customHeight="1">
      <c r="A155" s="23"/>
      <c r="B155" s="34"/>
      <c r="C155" s="21"/>
      <c r="D155" s="24"/>
      <c r="E155" s="24"/>
      <c r="F155" s="25"/>
      <c r="G155" s="57">
        <f t="shared" si="8"/>
        <v>0</v>
      </c>
      <c r="H155" s="58">
        <f t="shared" si="10"/>
        <v>9608.7800000000007</v>
      </c>
    </row>
    <row r="156" spans="1:8" ht="22.5" customHeight="1">
      <c r="A156" s="23"/>
      <c r="B156" s="34"/>
      <c r="C156" s="21"/>
      <c r="D156" s="24"/>
      <c r="E156" s="24"/>
      <c r="F156" s="25"/>
      <c r="G156" s="57">
        <f t="shared" si="8"/>
        <v>0</v>
      </c>
      <c r="H156" s="58">
        <f t="shared" si="10"/>
        <v>9608.7800000000007</v>
      </c>
    </row>
    <row r="157" spans="1:8" ht="22.5" customHeight="1">
      <c r="A157" s="23"/>
      <c r="B157" s="34"/>
      <c r="C157" s="21"/>
      <c r="D157" s="24"/>
      <c r="E157" s="24"/>
      <c r="F157" s="25"/>
      <c r="G157" s="57">
        <f t="shared" si="8"/>
        <v>0</v>
      </c>
      <c r="H157" s="58">
        <f t="shared" si="10"/>
        <v>9608.7800000000007</v>
      </c>
    </row>
    <row r="158" spans="1:8" ht="22.5" customHeight="1">
      <c r="A158" s="23"/>
      <c r="B158" s="34"/>
      <c r="C158" s="21"/>
      <c r="D158" s="24"/>
      <c r="E158" s="24"/>
      <c r="F158" s="25"/>
      <c r="G158" s="57">
        <f t="shared" si="8"/>
        <v>0</v>
      </c>
      <c r="H158" s="58">
        <f t="shared" si="10"/>
        <v>9608.7800000000007</v>
      </c>
    </row>
    <row r="159" spans="1:8" ht="22.5" customHeight="1">
      <c r="A159" s="23"/>
      <c r="B159" s="34"/>
      <c r="C159" s="21"/>
      <c r="D159" s="24"/>
      <c r="E159" s="24"/>
      <c r="F159" s="25"/>
      <c r="G159" s="57">
        <f t="shared" si="8"/>
        <v>0</v>
      </c>
      <c r="H159" s="58">
        <f t="shared" si="10"/>
        <v>9608.7800000000007</v>
      </c>
    </row>
    <row r="160" spans="1:8" ht="22.5" customHeight="1">
      <c r="A160" s="23"/>
      <c r="B160" s="34"/>
      <c r="C160" s="21"/>
      <c r="D160" s="24"/>
      <c r="E160" s="24"/>
      <c r="F160" s="25"/>
      <c r="G160" s="57">
        <f t="shared" si="8"/>
        <v>0</v>
      </c>
      <c r="H160" s="58">
        <f t="shared" si="10"/>
        <v>9608.7800000000007</v>
      </c>
    </row>
    <row r="161" spans="1:8" ht="22.5" customHeight="1">
      <c r="A161" s="23"/>
      <c r="B161" s="34"/>
      <c r="C161" s="21"/>
      <c r="D161" s="24"/>
      <c r="E161" s="24"/>
      <c r="F161" s="25"/>
      <c r="G161" s="57">
        <f t="shared" si="8"/>
        <v>0</v>
      </c>
      <c r="H161" s="58">
        <f t="shared" si="10"/>
        <v>9608.7800000000007</v>
      </c>
    </row>
    <row r="162" spans="1:8" ht="22.5" customHeight="1">
      <c r="A162" s="23"/>
      <c r="B162" s="34"/>
      <c r="C162" s="21"/>
      <c r="D162" s="24"/>
      <c r="E162" s="24"/>
      <c r="F162" s="25"/>
      <c r="G162" s="57">
        <f t="shared" si="8"/>
        <v>0</v>
      </c>
      <c r="H162" s="58">
        <f t="shared" si="10"/>
        <v>9608.7800000000007</v>
      </c>
    </row>
    <row r="163" spans="1:8" ht="22.5" customHeight="1">
      <c r="A163" s="23"/>
      <c r="B163" s="34"/>
      <c r="C163" s="21"/>
      <c r="D163" s="24"/>
      <c r="E163" s="24"/>
      <c r="F163" s="25"/>
      <c r="G163" s="57">
        <f t="shared" si="8"/>
        <v>0</v>
      </c>
      <c r="H163" s="58">
        <f t="shared" si="10"/>
        <v>9608.7800000000007</v>
      </c>
    </row>
    <row r="164" spans="1:8" ht="22.5" customHeight="1">
      <c r="A164" s="23"/>
      <c r="B164" s="34"/>
      <c r="C164" s="21"/>
      <c r="D164" s="24"/>
      <c r="E164" s="24"/>
      <c r="F164" s="25"/>
      <c r="G164" s="57">
        <f t="shared" si="8"/>
        <v>0</v>
      </c>
      <c r="H164" s="58">
        <f t="shared" si="10"/>
        <v>9608.7800000000007</v>
      </c>
    </row>
    <row r="165" spans="1:8" ht="22.5" customHeight="1">
      <c r="A165" s="23"/>
      <c r="B165" s="34"/>
      <c r="C165" s="21"/>
      <c r="D165" s="24"/>
      <c r="E165" s="24"/>
      <c r="F165" s="25"/>
      <c r="G165" s="57">
        <f t="shared" si="8"/>
        <v>0</v>
      </c>
      <c r="H165" s="58">
        <f t="shared" si="10"/>
        <v>9608.7800000000007</v>
      </c>
    </row>
    <row r="166" spans="1:8" ht="22.5" customHeight="1">
      <c r="A166" s="23"/>
      <c r="B166" s="34"/>
      <c r="C166" s="21"/>
      <c r="D166" s="24"/>
      <c r="E166" s="24"/>
      <c r="F166" s="25"/>
      <c r="G166" s="57">
        <f t="shared" si="8"/>
        <v>0</v>
      </c>
      <c r="H166" s="58">
        <f t="shared" si="10"/>
        <v>9608.7800000000007</v>
      </c>
    </row>
    <row r="167" spans="1:8" ht="22.5" customHeight="1">
      <c r="A167" s="23"/>
      <c r="B167" s="34"/>
      <c r="C167" s="21"/>
      <c r="D167" s="24"/>
      <c r="E167" s="24"/>
      <c r="F167" s="25"/>
      <c r="G167" s="57">
        <f t="shared" ref="G167:G198" si="11">IF(A167="Despesas",E167*-1,IF(A167="Receitas",E167,0))</f>
        <v>0</v>
      </c>
      <c r="H167" s="58">
        <f t="shared" si="10"/>
        <v>9608.7800000000007</v>
      </c>
    </row>
    <row r="168" spans="1:8" ht="22.5" customHeight="1">
      <c r="A168" s="23"/>
      <c r="B168" s="34"/>
      <c r="C168" s="21"/>
      <c r="D168" s="24"/>
      <c r="E168" s="24"/>
      <c r="F168" s="25"/>
      <c r="G168" s="57">
        <f t="shared" si="11"/>
        <v>0</v>
      </c>
      <c r="H168" s="58">
        <f t="shared" si="10"/>
        <v>9608.7800000000007</v>
      </c>
    </row>
    <row r="169" spans="1:8" ht="22.5" customHeight="1">
      <c r="A169" s="23"/>
      <c r="B169" s="34"/>
      <c r="C169" s="21"/>
      <c r="D169" s="24"/>
      <c r="E169" s="24"/>
      <c r="F169" s="25"/>
      <c r="G169" s="57">
        <f t="shared" si="11"/>
        <v>0</v>
      </c>
      <c r="H169" s="58">
        <f t="shared" si="10"/>
        <v>9608.7800000000007</v>
      </c>
    </row>
    <row r="170" spans="1:8" ht="22.5" customHeight="1">
      <c r="A170" s="23"/>
      <c r="B170" s="34"/>
      <c r="C170" s="21"/>
      <c r="D170" s="24"/>
      <c r="E170" s="24"/>
      <c r="F170" s="25"/>
      <c r="G170" s="57">
        <f t="shared" si="11"/>
        <v>0</v>
      </c>
      <c r="H170" s="58">
        <f t="shared" si="10"/>
        <v>9608.7800000000007</v>
      </c>
    </row>
    <row r="171" spans="1:8" ht="22.5" customHeight="1">
      <c r="A171" s="23"/>
      <c r="B171" s="34"/>
      <c r="C171" s="21"/>
      <c r="D171" s="24"/>
      <c r="E171" s="24"/>
      <c r="F171" s="25"/>
      <c r="G171" s="57">
        <f t="shared" si="11"/>
        <v>0</v>
      </c>
      <c r="H171" s="58">
        <f t="shared" si="10"/>
        <v>9608.7800000000007</v>
      </c>
    </row>
    <row r="172" spans="1:8" ht="22.5" customHeight="1">
      <c r="A172" s="23"/>
      <c r="B172" s="34"/>
      <c r="C172" s="21"/>
      <c r="D172" s="24"/>
      <c r="E172" s="24"/>
      <c r="F172" s="25"/>
      <c r="G172" s="57">
        <f t="shared" si="11"/>
        <v>0</v>
      </c>
      <c r="H172" s="58">
        <f t="shared" si="10"/>
        <v>9608.7800000000007</v>
      </c>
    </row>
    <row r="173" spans="1:8" ht="22.5" customHeight="1">
      <c r="A173" s="23"/>
      <c r="B173" s="34"/>
      <c r="C173" s="21"/>
      <c r="D173" s="24"/>
      <c r="E173" s="24"/>
      <c r="F173" s="25"/>
      <c r="G173" s="57">
        <f t="shared" si="11"/>
        <v>0</v>
      </c>
      <c r="H173" s="58">
        <f t="shared" si="10"/>
        <v>9608.7800000000007</v>
      </c>
    </row>
    <row r="174" spans="1:8" ht="22.5" customHeight="1">
      <c r="A174" s="23"/>
      <c r="B174" s="34"/>
      <c r="C174" s="21"/>
      <c r="D174" s="24"/>
      <c r="E174" s="24"/>
      <c r="F174" s="25"/>
      <c r="G174" s="57">
        <f t="shared" si="11"/>
        <v>0</v>
      </c>
      <c r="H174" s="58">
        <f t="shared" si="10"/>
        <v>9608.7800000000007</v>
      </c>
    </row>
    <row r="175" spans="1:8" ht="22.5" customHeight="1">
      <c r="A175" s="23"/>
      <c r="B175" s="34"/>
      <c r="C175" s="21"/>
      <c r="D175" s="24"/>
      <c r="E175" s="24"/>
      <c r="F175" s="25"/>
      <c r="G175" s="57">
        <f t="shared" si="11"/>
        <v>0</v>
      </c>
      <c r="H175" s="58">
        <f t="shared" si="10"/>
        <v>9608.7800000000007</v>
      </c>
    </row>
    <row r="176" spans="1:8" ht="22.5" customHeight="1">
      <c r="A176" s="23"/>
      <c r="B176" s="34"/>
      <c r="C176" s="21"/>
      <c r="D176" s="24"/>
      <c r="E176" s="24"/>
      <c r="F176" s="25"/>
      <c r="G176" s="57">
        <f t="shared" si="11"/>
        <v>0</v>
      </c>
      <c r="H176" s="58">
        <f t="shared" si="10"/>
        <v>9608.7800000000007</v>
      </c>
    </row>
    <row r="177" spans="1:8" ht="22.5" customHeight="1">
      <c r="A177" s="23"/>
      <c r="B177" s="34"/>
      <c r="C177" s="21"/>
      <c r="D177" s="24"/>
      <c r="E177" s="24"/>
      <c r="F177" s="25"/>
      <c r="G177" s="57">
        <f t="shared" si="11"/>
        <v>0</v>
      </c>
      <c r="H177" s="58">
        <f t="shared" si="10"/>
        <v>9608.7800000000007</v>
      </c>
    </row>
    <row r="178" spans="1:8" ht="22.5" customHeight="1">
      <c r="A178" s="23"/>
      <c r="B178" s="34"/>
      <c r="C178" s="21"/>
      <c r="D178" s="24"/>
      <c r="E178" s="24"/>
      <c r="F178" s="25"/>
      <c r="G178" s="57">
        <f t="shared" si="11"/>
        <v>0</v>
      </c>
      <c r="H178" s="58">
        <f t="shared" si="10"/>
        <v>9608.7800000000007</v>
      </c>
    </row>
    <row r="179" spans="1:8" ht="22.5" customHeight="1">
      <c r="A179" s="23"/>
      <c r="B179" s="34"/>
      <c r="C179" s="21"/>
      <c r="D179" s="24"/>
      <c r="E179" s="24"/>
      <c r="F179" s="25"/>
      <c r="G179" s="57">
        <f t="shared" si="11"/>
        <v>0</v>
      </c>
      <c r="H179" s="58">
        <f t="shared" si="10"/>
        <v>9608.7800000000007</v>
      </c>
    </row>
    <row r="180" spans="1:8" ht="22.5" customHeight="1">
      <c r="A180" s="23"/>
      <c r="B180" s="34"/>
      <c r="C180" s="21"/>
      <c r="D180" s="24"/>
      <c r="E180" s="24"/>
      <c r="F180" s="25"/>
      <c r="G180" s="57">
        <f t="shared" si="11"/>
        <v>0</v>
      </c>
      <c r="H180" s="58">
        <f t="shared" si="10"/>
        <v>9608.7800000000007</v>
      </c>
    </row>
    <row r="181" spans="1:8" ht="22.5" customHeight="1">
      <c r="A181" s="23"/>
      <c r="B181" s="34"/>
      <c r="C181" s="21"/>
      <c r="D181" s="24"/>
      <c r="E181" s="24"/>
      <c r="F181" s="25"/>
      <c r="G181" s="57">
        <f t="shared" si="11"/>
        <v>0</v>
      </c>
      <c r="H181" s="58">
        <f t="shared" si="10"/>
        <v>9608.7800000000007</v>
      </c>
    </row>
    <row r="182" spans="1:8" ht="22.5" customHeight="1">
      <c r="A182" s="23"/>
      <c r="B182" s="34"/>
      <c r="C182" s="21"/>
      <c r="D182" s="24"/>
      <c r="E182" s="24"/>
      <c r="F182" s="25"/>
      <c r="G182" s="57">
        <f t="shared" si="11"/>
        <v>0</v>
      </c>
      <c r="H182" s="58">
        <f t="shared" si="10"/>
        <v>9608.7800000000007</v>
      </c>
    </row>
    <row r="183" spans="1:8" ht="22.5" customHeight="1">
      <c r="A183" s="23"/>
      <c r="B183" s="34"/>
      <c r="C183" s="21"/>
      <c r="D183" s="24"/>
      <c r="E183" s="24"/>
      <c r="F183" s="25"/>
      <c r="G183" s="57">
        <f t="shared" si="11"/>
        <v>0</v>
      </c>
      <c r="H183" s="58">
        <f t="shared" si="10"/>
        <v>9608.7800000000007</v>
      </c>
    </row>
    <row r="184" spans="1:8" ht="22.5" customHeight="1">
      <c r="A184" s="23"/>
      <c r="B184" s="34"/>
      <c r="C184" s="21"/>
      <c r="D184" s="24"/>
      <c r="E184" s="24"/>
      <c r="F184" s="25"/>
      <c r="G184" s="57">
        <f t="shared" si="11"/>
        <v>0</v>
      </c>
      <c r="H184" s="58">
        <f t="shared" si="10"/>
        <v>9608.7800000000007</v>
      </c>
    </row>
    <row r="185" spans="1:8" ht="22.5" customHeight="1">
      <c r="A185" s="23"/>
      <c r="B185" s="34"/>
      <c r="C185" s="21"/>
      <c r="D185" s="24"/>
      <c r="E185" s="24"/>
      <c r="F185" s="25"/>
      <c r="G185" s="57">
        <f t="shared" si="11"/>
        <v>0</v>
      </c>
      <c r="H185" s="58">
        <f t="shared" si="10"/>
        <v>9608.7800000000007</v>
      </c>
    </row>
    <row r="186" spans="1:8" ht="22.5" customHeight="1">
      <c r="A186" s="23"/>
      <c r="B186" s="34"/>
      <c r="C186" s="21"/>
      <c r="D186" s="24"/>
      <c r="E186" s="24"/>
      <c r="F186" s="25"/>
      <c r="G186" s="57">
        <f t="shared" si="11"/>
        <v>0</v>
      </c>
      <c r="H186" s="58">
        <f t="shared" si="10"/>
        <v>9608.7800000000007</v>
      </c>
    </row>
    <row r="187" spans="1:8" ht="22.5" customHeight="1">
      <c r="A187" s="23"/>
      <c r="B187" s="34"/>
      <c r="C187" s="21"/>
      <c r="D187" s="24"/>
      <c r="E187" s="24"/>
      <c r="F187" s="25"/>
      <c r="G187" s="57">
        <f t="shared" si="11"/>
        <v>0</v>
      </c>
      <c r="H187" s="58">
        <f t="shared" si="10"/>
        <v>9608.7800000000007</v>
      </c>
    </row>
    <row r="188" spans="1:8" ht="22.5" customHeight="1">
      <c r="A188" s="23"/>
      <c r="B188" s="34"/>
      <c r="C188" s="21"/>
      <c r="D188" s="24"/>
      <c r="E188" s="24"/>
      <c r="F188" s="25"/>
      <c r="G188" s="57">
        <f t="shared" si="11"/>
        <v>0</v>
      </c>
      <c r="H188" s="58">
        <f t="shared" si="10"/>
        <v>9608.7800000000007</v>
      </c>
    </row>
    <row r="189" spans="1:8" ht="22.5" customHeight="1">
      <c r="A189" s="23"/>
      <c r="B189" s="34"/>
      <c r="C189" s="21"/>
      <c r="D189" s="24"/>
      <c r="E189" s="24"/>
      <c r="F189" s="25"/>
      <c r="G189" s="57">
        <f t="shared" si="11"/>
        <v>0</v>
      </c>
      <c r="H189" s="58">
        <f t="shared" si="10"/>
        <v>9608.7800000000007</v>
      </c>
    </row>
    <row r="190" spans="1:8" ht="22.5" customHeight="1">
      <c r="A190" s="23"/>
      <c r="B190" s="34"/>
      <c r="C190" s="21"/>
      <c r="D190" s="24"/>
      <c r="E190" s="24"/>
      <c r="F190" s="25"/>
      <c r="G190" s="57">
        <f t="shared" si="11"/>
        <v>0</v>
      </c>
      <c r="H190" s="58">
        <f t="shared" si="10"/>
        <v>9608.7800000000007</v>
      </c>
    </row>
    <row r="191" spans="1:8" ht="22.5" customHeight="1">
      <c r="A191" s="23"/>
      <c r="B191" s="34"/>
      <c r="C191" s="21"/>
      <c r="D191" s="24"/>
      <c r="E191" s="24"/>
      <c r="F191" s="25"/>
      <c r="G191" s="57">
        <f t="shared" si="11"/>
        <v>0</v>
      </c>
      <c r="H191" s="58">
        <f t="shared" si="10"/>
        <v>9608.7800000000007</v>
      </c>
    </row>
    <row r="192" spans="1:8" ht="22.5" customHeight="1">
      <c r="A192" s="23"/>
      <c r="B192" s="34"/>
      <c r="C192" s="21"/>
      <c r="D192" s="24"/>
      <c r="E192" s="24"/>
      <c r="F192" s="25"/>
      <c r="G192" s="57">
        <f t="shared" si="11"/>
        <v>0</v>
      </c>
      <c r="H192" s="58">
        <f t="shared" si="10"/>
        <v>9608.7800000000007</v>
      </c>
    </row>
    <row r="193" spans="1:8" ht="22.5" customHeight="1">
      <c r="A193" s="23"/>
      <c r="B193" s="34"/>
      <c r="C193" s="21"/>
      <c r="D193" s="24"/>
      <c r="E193" s="24"/>
      <c r="F193" s="25"/>
      <c r="G193" s="57">
        <f t="shared" si="11"/>
        <v>0</v>
      </c>
      <c r="H193" s="58">
        <f t="shared" si="10"/>
        <v>9608.7800000000007</v>
      </c>
    </row>
    <row r="194" spans="1:8" ht="22.5" customHeight="1">
      <c r="A194" s="23"/>
      <c r="B194" s="34"/>
      <c r="C194" s="21"/>
      <c r="D194" s="24"/>
      <c r="E194" s="24"/>
      <c r="F194" s="25"/>
      <c r="G194" s="57">
        <f t="shared" si="11"/>
        <v>0</v>
      </c>
      <c r="H194" s="58">
        <f t="shared" si="10"/>
        <v>9608.7800000000007</v>
      </c>
    </row>
    <row r="195" spans="1:8" ht="22.5" customHeight="1">
      <c r="A195" s="23"/>
      <c r="B195" s="34"/>
      <c r="C195" s="21"/>
      <c r="D195" s="24"/>
      <c r="E195" s="24"/>
      <c r="F195" s="25"/>
      <c r="G195" s="57">
        <f t="shared" si="11"/>
        <v>0</v>
      </c>
      <c r="H195" s="58">
        <f t="shared" si="10"/>
        <v>9608.7800000000007</v>
      </c>
    </row>
    <row r="196" spans="1:8" ht="22.5" customHeight="1">
      <c r="A196" s="23"/>
      <c r="B196" s="34"/>
      <c r="C196" s="21"/>
      <c r="D196" s="24"/>
      <c r="E196" s="24"/>
      <c r="F196" s="25"/>
      <c r="G196" s="57">
        <f t="shared" si="11"/>
        <v>0</v>
      </c>
      <c r="H196" s="58">
        <f t="shared" si="10"/>
        <v>9608.7800000000007</v>
      </c>
    </row>
    <row r="197" spans="1:8" ht="22.5" customHeight="1">
      <c r="A197" s="23"/>
      <c r="B197" s="34"/>
      <c r="C197" s="21"/>
      <c r="D197" s="24"/>
      <c r="E197" s="24"/>
      <c r="F197" s="25"/>
      <c r="G197" s="57">
        <f t="shared" si="11"/>
        <v>0</v>
      </c>
      <c r="H197" s="58">
        <f t="shared" si="10"/>
        <v>9608.7800000000007</v>
      </c>
    </row>
    <row r="198" spans="1:8" ht="22.5" customHeight="1">
      <c r="A198" s="23"/>
      <c r="B198" s="34"/>
      <c r="C198" s="21"/>
      <c r="D198" s="24"/>
      <c r="E198" s="24"/>
      <c r="F198" s="25"/>
      <c r="G198" s="57">
        <f t="shared" si="11"/>
        <v>0</v>
      </c>
      <c r="H198" s="58">
        <f t="shared" si="10"/>
        <v>9608.7800000000007</v>
      </c>
    </row>
    <row r="199" spans="1:8" ht="22.5" customHeight="1">
      <c r="A199" s="23"/>
      <c r="B199" s="34"/>
      <c r="C199" s="21"/>
      <c r="D199" s="24"/>
      <c r="E199" s="24"/>
      <c r="F199" s="25"/>
      <c r="G199" s="57">
        <f t="shared" ref="G199:G206" si="12">IF(A199="Despesas",E199*-1,IF(A199="Receitas",E199,0))</f>
        <v>0</v>
      </c>
      <c r="H199" s="58">
        <f t="shared" si="10"/>
        <v>9608.7800000000007</v>
      </c>
    </row>
    <row r="200" spans="1:8" ht="22.5" customHeight="1">
      <c r="A200" s="23"/>
      <c r="B200" s="34"/>
      <c r="C200" s="21"/>
      <c r="D200" s="24"/>
      <c r="E200" s="24"/>
      <c r="F200" s="25"/>
      <c r="G200" s="57">
        <f t="shared" si="12"/>
        <v>0</v>
      </c>
      <c r="H200" s="58">
        <f t="shared" si="10"/>
        <v>9608.7800000000007</v>
      </c>
    </row>
    <row r="201" spans="1:8" ht="22.5" customHeight="1">
      <c r="A201" s="23"/>
      <c r="B201" s="34"/>
      <c r="C201" s="21"/>
      <c r="D201" s="24"/>
      <c r="E201" s="24"/>
      <c r="F201" s="25"/>
      <c r="G201" s="57">
        <f t="shared" si="12"/>
        <v>0</v>
      </c>
      <c r="H201" s="58">
        <f t="shared" si="10"/>
        <v>9608.7800000000007</v>
      </c>
    </row>
    <row r="202" spans="1:8" ht="22.5" customHeight="1">
      <c r="A202" s="23"/>
      <c r="B202" s="34"/>
      <c r="C202" s="21"/>
      <c r="D202" s="24"/>
      <c r="E202" s="24"/>
      <c r="F202" s="25"/>
      <c r="G202" s="57">
        <f t="shared" si="12"/>
        <v>0</v>
      </c>
      <c r="H202" s="58">
        <f t="shared" si="10"/>
        <v>9608.7800000000007</v>
      </c>
    </row>
    <row r="203" spans="1:8" ht="22.5" customHeight="1">
      <c r="A203" s="23"/>
      <c r="B203" s="34"/>
      <c r="C203" s="21"/>
      <c r="D203" s="24"/>
      <c r="E203" s="24"/>
      <c r="F203" s="25"/>
      <c r="G203" s="57">
        <f t="shared" si="12"/>
        <v>0</v>
      </c>
      <c r="H203" s="58">
        <f t="shared" si="10"/>
        <v>9608.7800000000007</v>
      </c>
    </row>
    <row r="204" spans="1:8" ht="22.5" customHeight="1">
      <c r="A204" s="23"/>
      <c r="B204" s="34"/>
      <c r="C204" s="21"/>
      <c r="D204" s="24"/>
      <c r="E204" s="24"/>
      <c r="F204" s="25"/>
      <c r="G204" s="57">
        <f t="shared" si="12"/>
        <v>0</v>
      </c>
      <c r="H204" s="58">
        <f t="shared" si="10"/>
        <v>9608.7800000000007</v>
      </c>
    </row>
    <row r="205" spans="1:8" ht="22.5" customHeight="1">
      <c r="A205" s="23"/>
      <c r="B205" s="34"/>
      <c r="C205" s="21"/>
      <c r="D205" s="24"/>
      <c r="E205" s="24"/>
      <c r="F205" s="25"/>
      <c r="G205" s="57">
        <f t="shared" si="12"/>
        <v>0</v>
      </c>
      <c r="H205" s="58">
        <f t="shared" si="10"/>
        <v>9608.7800000000007</v>
      </c>
    </row>
    <row r="206" spans="1:8" ht="22.5" customHeight="1">
      <c r="A206" s="23"/>
      <c r="B206" s="34"/>
      <c r="C206" s="21"/>
      <c r="D206" s="24"/>
      <c r="E206" s="24"/>
      <c r="F206" s="25"/>
      <c r="G206" s="57">
        <f t="shared" si="12"/>
        <v>0</v>
      </c>
      <c r="H206" s="58">
        <f t="shared" si="10"/>
        <v>9608.7800000000007</v>
      </c>
    </row>
    <row r="207" spans="1:8" ht="22.5" customHeight="1">
      <c r="A207" s="54" t="s">
        <v>71</v>
      </c>
      <c r="B207" s="34" t="s">
        <v>72</v>
      </c>
      <c r="C207" s="54" t="s">
        <v>71</v>
      </c>
      <c r="D207" s="54" t="s">
        <v>71</v>
      </c>
      <c r="E207" s="54" t="s">
        <v>71</v>
      </c>
      <c r="F207" s="54" t="s">
        <v>71</v>
      </c>
      <c r="G207" s="59" t="s">
        <v>71</v>
      </c>
      <c r="H207" s="60" t="s">
        <v>72</v>
      </c>
    </row>
  </sheetData>
  <mergeCells count="4">
    <mergeCell ref="A1:A4"/>
    <mergeCell ref="C1:E3"/>
    <mergeCell ref="F1:F3"/>
    <mergeCell ref="H2:H3"/>
  </mergeCells>
  <conditionalFormatting sqref="H7:H207">
    <cfRule type="cellIs" dxfId="7" priority="1" operator="lessThan">
      <formula>0</formula>
    </cfRule>
  </conditionalFormatting>
  <dataValidations count="6">
    <dataValidation type="custom" allowBlank="1" showDropDown="1" sqref="F6:F206" xr:uid="{35CD3FC1-CE48-4DC3-85AD-B1BDAE8FD471}">
      <formula1>OR(NOT(ISERROR(DATEVALUE(F6))), AND(ISNUMBER(F6), LEFT(CELL("format", F6))="D"))</formula1>
    </dataValidation>
    <dataValidation type="list" allowBlank="1" sqref="A7:A206 A6:B6" xr:uid="{AACA060D-C1FF-46CF-82BB-AA1F91361C9B}">
      <formula1>"Receitas,Despesas"</formula1>
    </dataValidation>
    <dataValidation type="list" allowBlank="1" sqref="C207:G207 A207 C6" xr:uid="{5F942A64-DB4C-4DB1-BC14-AFDBD8C2F43F}">
      <formula1>#REF!</formula1>
    </dataValidation>
    <dataValidation type="list" allowBlank="1" sqref="B207" xr:uid="{95D88DF7-43B8-4F37-8E1A-88AD5BFA9A8F}">
      <formula1>INDIRECT($A$7)</formula1>
    </dataValidation>
    <dataValidation type="list" allowBlank="1" sqref="B7:B206" xr:uid="{535862C1-992B-4016-A209-6850FE7BEA24}">
      <formula1>INDIRECT(A7)</formula1>
    </dataValidation>
    <dataValidation type="list" allowBlank="1" sqref="C7:C206" xr:uid="{29567739-5EE9-4077-8282-E7316E0CDEEC}">
      <formula1>Bancos</formula1>
    </dataValidation>
  </dataValidation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227DB-8394-4F78-89B5-8A612A49A25B}">
  <sheetPr>
    <outlinePr summaryBelow="0" summaryRight="0"/>
  </sheetPr>
  <dimension ref="A1:J207"/>
  <sheetViews>
    <sheetView showGridLines="0" workbookViewId="0">
      <selection activeCell="H2" sqref="H2:H3"/>
    </sheetView>
  </sheetViews>
  <sheetFormatPr defaultColWidth="12.5703125" defaultRowHeight="15.75" customHeight="1"/>
  <cols>
    <col min="1" max="1" width="9.28515625" style="27" bestFit="1" customWidth="1"/>
    <col min="2" max="2" width="30.85546875" style="27" bestFit="1" customWidth="1"/>
    <col min="3" max="3" width="20.85546875" style="27" bestFit="1" customWidth="1"/>
    <col min="4" max="4" width="13.85546875" style="27" bestFit="1" customWidth="1"/>
    <col min="5" max="5" width="11.7109375" bestFit="1" customWidth="1"/>
    <col min="6" max="6" width="16.28515625" style="27" customWidth="1"/>
    <col min="7" max="7" width="11.7109375" style="27" hidden="1" customWidth="1"/>
    <col min="8" max="8" width="22.5703125" style="33" bestFit="1" customWidth="1"/>
    <col min="9" max="10" width="12.5703125" style="27" hidden="1" customWidth="1"/>
  </cols>
  <sheetData>
    <row r="1" spans="1:8" ht="19.5" customHeight="1">
      <c r="A1" s="70"/>
      <c r="B1" s="13"/>
      <c r="C1" s="74" t="s">
        <v>58</v>
      </c>
      <c r="D1" s="66"/>
      <c r="E1" s="62"/>
      <c r="F1" s="73" t="s">
        <v>44</v>
      </c>
      <c r="G1" s="14"/>
      <c r="H1" s="35" t="s">
        <v>43</v>
      </c>
    </row>
    <row r="2" spans="1:8" ht="12.75" customHeight="1">
      <c r="A2" s="66"/>
      <c r="B2" s="15"/>
      <c r="C2" s="66"/>
      <c r="D2" s="66"/>
      <c r="E2" s="62"/>
      <c r="F2" s="73"/>
      <c r="G2" s="14"/>
      <c r="H2" s="72">
        <f>MAI!H206</f>
        <v>9608.7800000000007</v>
      </c>
    </row>
    <row r="3" spans="1:8" ht="23.25" customHeight="1">
      <c r="A3" s="66"/>
      <c r="B3" s="12"/>
      <c r="C3" s="66"/>
      <c r="D3" s="66"/>
      <c r="E3" s="62"/>
      <c r="F3" s="73"/>
      <c r="G3" s="14"/>
      <c r="H3" s="72"/>
    </row>
    <row r="4" spans="1:8" ht="12.75">
      <c r="A4" s="66"/>
      <c r="B4" s="13"/>
      <c r="C4" s="16"/>
      <c r="D4" s="16"/>
      <c r="E4" s="16"/>
      <c r="F4" s="14"/>
      <c r="G4" s="14"/>
      <c r="H4" s="31"/>
    </row>
    <row r="5" spans="1:8" ht="22.5" customHeight="1">
      <c r="A5" s="28" t="s">
        <v>45</v>
      </c>
      <c r="B5" s="29" t="s">
        <v>46</v>
      </c>
      <c r="C5" s="30" t="s">
        <v>47</v>
      </c>
      <c r="D5" s="29" t="s">
        <v>48</v>
      </c>
      <c r="E5" s="36" t="s">
        <v>49</v>
      </c>
      <c r="F5" s="29" t="s">
        <v>50</v>
      </c>
      <c r="G5" s="32" t="s">
        <v>67</v>
      </c>
      <c r="H5" s="36" t="s">
        <v>51</v>
      </c>
    </row>
    <row r="6" spans="1:8" ht="22.5" customHeight="1">
      <c r="A6" s="26"/>
      <c r="B6" s="26"/>
      <c r="C6" s="26"/>
      <c r="D6" s="26" t="s">
        <v>52</v>
      </c>
      <c r="E6" s="17">
        <f>H2</f>
        <v>9608.7800000000007</v>
      </c>
      <c r="F6" s="18">
        <v>46173</v>
      </c>
      <c r="G6" s="55">
        <f>E6</f>
        <v>9608.7800000000007</v>
      </c>
      <c r="H6" s="56">
        <f>E6</f>
        <v>9608.7800000000007</v>
      </c>
    </row>
    <row r="7" spans="1:8" ht="22.5" customHeight="1">
      <c r="A7" s="34"/>
      <c r="B7" s="34"/>
      <c r="C7" s="21"/>
      <c r="D7" s="22"/>
      <c r="E7" s="22"/>
      <c r="F7" s="19"/>
      <c r="G7" s="57">
        <f t="shared" ref="G7:G38" si="0">IF(A7="Despesas",E7*-1,IF(A7="Receitas",E7,0))</f>
        <v>0</v>
      </c>
      <c r="H7" s="58">
        <f t="shared" ref="H7:H38" si="1">H6+G7</f>
        <v>9608.7800000000007</v>
      </c>
    </row>
    <row r="8" spans="1:8" ht="22.5" customHeight="1">
      <c r="A8" s="34"/>
      <c r="B8" s="34"/>
      <c r="C8" s="21"/>
      <c r="D8" s="22"/>
      <c r="E8" s="22"/>
      <c r="F8" s="20"/>
      <c r="G8" s="57">
        <f t="shared" si="0"/>
        <v>0</v>
      </c>
      <c r="H8" s="58">
        <f t="shared" si="1"/>
        <v>9608.7800000000007</v>
      </c>
    </row>
    <row r="9" spans="1:8" ht="22.5" customHeight="1">
      <c r="A9" s="21"/>
      <c r="B9" s="34"/>
      <c r="C9" s="21"/>
      <c r="D9" s="22"/>
      <c r="E9" s="22"/>
      <c r="F9" s="19"/>
      <c r="G9" s="57">
        <f t="shared" si="0"/>
        <v>0</v>
      </c>
      <c r="H9" s="58">
        <f t="shared" si="1"/>
        <v>9608.7800000000007</v>
      </c>
    </row>
    <row r="10" spans="1:8" ht="22.5" customHeight="1">
      <c r="A10" s="21"/>
      <c r="B10" s="34"/>
      <c r="C10" s="21"/>
      <c r="D10" s="22"/>
      <c r="E10" s="22"/>
      <c r="F10" s="20"/>
      <c r="G10" s="57">
        <f t="shared" si="0"/>
        <v>0</v>
      </c>
      <c r="H10" s="58">
        <f t="shared" si="1"/>
        <v>9608.7800000000007</v>
      </c>
    </row>
    <row r="11" spans="1:8" ht="22.5" customHeight="1">
      <c r="A11" s="21"/>
      <c r="B11" s="34"/>
      <c r="C11" s="21"/>
      <c r="D11" s="22"/>
      <c r="E11" s="22"/>
      <c r="F11" s="19"/>
      <c r="G11" s="57">
        <f t="shared" si="0"/>
        <v>0</v>
      </c>
      <c r="H11" s="58">
        <f t="shared" si="1"/>
        <v>9608.7800000000007</v>
      </c>
    </row>
    <row r="12" spans="1:8" ht="22.5" customHeight="1">
      <c r="A12" s="21"/>
      <c r="B12" s="34"/>
      <c r="C12" s="21"/>
      <c r="D12" s="22"/>
      <c r="E12" s="22"/>
      <c r="F12" s="20"/>
      <c r="G12" s="57">
        <f t="shared" si="0"/>
        <v>0</v>
      </c>
      <c r="H12" s="58">
        <f t="shared" si="1"/>
        <v>9608.7800000000007</v>
      </c>
    </row>
    <row r="13" spans="1:8" ht="22.5" customHeight="1">
      <c r="A13" s="21"/>
      <c r="B13" s="34"/>
      <c r="C13" s="21"/>
      <c r="D13" s="22"/>
      <c r="E13" s="22"/>
      <c r="F13" s="19"/>
      <c r="G13" s="57">
        <f t="shared" si="0"/>
        <v>0</v>
      </c>
      <c r="H13" s="58">
        <f t="shared" si="1"/>
        <v>9608.7800000000007</v>
      </c>
    </row>
    <row r="14" spans="1:8" ht="22.5" customHeight="1">
      <c r="A14" s="21"/>
      <c r="B14" s="34"/>
      <c r="C14" s="21"/>
      <c r="D14" s="22"/>
      <c r="E14" s="22"/>
      <c r="F14" s="20"/>
      <c r="G14" s="57">
        <f t="shared" si="0"/>
        <v>0</v>
      </c>
      <c r="H14" s="58">
        <f t="shared" si="1"/>
        <v>9608.7800000000007</v>
      </c>
    </row>
    <row r="15" spans="1:8" ht="22.5" customHeight="1">
      <c r="A15" s="21"/>
      <c r="B15" s="34"/>
      <c r="C15" s="21"/>
      <c r="D15" s="22"/>
      <c r="E15" s="22"/>
      <c r="F15" s="19"/>
      <c r="G15" s="57">
        <f t="shared" si="0"/>
        <v>0</v>
      </c>
      <c r="H15" s="58">
        <f t="shared" si="1"/>
        <v>9608.7800000000007</v>
      </c>
    </row>
    <row r="16" spans="1:8" ht="22.5" customHeight="1">
      <c r="A16" s="21"/>
      <c r="B16" s="34"/>
      <c r="C16" s="21"/>
      <c r="D16" s="22"/>
      <c r="E16" s="22"/>
      <c r="F16" s="20"/>
      <c r="G16" s="57">
        <f t="shared" si="0"/>
        <v>0</v>
      </c>
      <c r="H16" s="58">
        <f t="shared" si="1"/>
        <v>9608.7800000000007</v>
      </c>
    </row>
    <row r="17" spans="1:8" ht="22.5" customHeight="1">
      <c r="A17" s="21"/>
      <c r="B17" s="34"/>
      <c r="C17" s="21"/>
      <c r="D17" s="22"/>
      <c r="E17" s="22"/>
      <c r="F17" s="19"/>
      <c r="G17" s="57">
        <f t="shared" si="0"/>
        <v>0</v>
      </c>
      <c r="H17" s="58">
        <f t="shared" si="1"/>
        <v>9608.7800000000007</v>
      </c>
    </row>
    <row r="18" spans="1:8" ht="22.5" customHeight="1">
      <c r="A18" s="21"/>
      <c r="B18" s="34"/>
      <c r="C18" s="21"/>
      <c r="D18" s="22"/>
      <c r="E18" s="22"/>
      <c r="F18" s="20"/>
      <c r="G18" s="57">
        <f t="shared" si="0"/>
        <v>0</v>
      </c>
      <c r="H18" s="58">
        <f t="shared" si="1"/>
        <v>9608.7800000000007</v>
      </c>
    </row>
    <row r="19" spans="1:8" ht="22.5" customHeight="1">
      <c r="A19" s="21"/>
      <c r="B19" s="34"/>
      <c r="C19" s="21"/>
      <c r="D19" s="22"/>
      <c r="E19" s="22"/>
      <c r="F19" s="19"/>
      <c r="G19" s="57">
        <f t="shared" si="0"/>
        <v>0</v>
      </c>
      <c r="H19" s="58">
        <f t="shared" si="1"/>
        <v>9608.7800000000007</v>
      </c>
    </row>
    <row r="20" spans="1:8" ht="22.5" customHeight="1">
      <c r="A20" s="21"/>
      <c r="B20" s="34"/>
      <c r="C20" s="21"/>
      <c r="D20" s="22"/>
      <c r="E20" s="22"/>
      <c r="F20" s="20"/>
      <c r="G20" s="57">
        <f t="shared" si="0"/>
        <v>0</v>
      </c>
      <c r="H20" s="58">
        <f t="shared" si="1"/>
        <v>9608.7800000000007</v>
      </c>
    </row>
    <row r="21" spans="1:8" ht="22.5" customHeight="1">
      <c r="A21" s="21"/>
      <c r="B21" s="34"/>
      <c r="C21" s="21"/>
      <c r="D21" s="22"/>
      <c r="E21" s="22"/>
      <c r="F21" s="19"/>
      <c r="G21" s="57">
        <f t="shared" si="0"/>
        <v>0</v>
      </c>
      <c r="H21" s="58">
        <f t="shared" si="1"/>
        <v>9608.7800000000007</v>
      </c>
    </row>
    <row r="22" spans="1:8" ht="22.5" customHeight="1">
      <c r="A22" s="21"/>
      <c r="B22" s="34"/>
      <c r="C22" s="21"/>
      <c r="D22" s="22"/>
      <c r="E22" s="22"/>
      <c r="F22" s="20"/>
      <c r="G22" s="57">
        <f t="shared" si="0"/>
        <v>0</v>
      </c>
      <c r="H22" s="58">
        <f t="shared" si="1"/>
        <v>9608.7800000000007</v>
      </c>
    </row>
    <row r="23" spans="1:8" ht="22.5" customHeight="1">
      <c r="A23" s="21"/>
      <c r="B23" s="34"/>
      <c r="C23" s="21"/>
      <c r="D23" s="22"/>
      <c r="E23" s="22"/>
      <c r="F23" s="19"/>
      <c r="G23" s="57">
        <f t="shared" si="0"/>
        <v>0</v>
      </c>
      <c r="H23" s="58">
        <f t="shared" si="1"/>
        <v>9608.7800000000007</v>
      </c>
    </row>
    <row r="24" spans="1:8" ht="22.5" customHeight="1">
      <c r="A24" s="21"/>
      <c r="B24" s="34"/>
      <c r="C24" s="21"/>
      <c r="D24" s="22"/>
      <c r="E24" s="22"/>
      <c r="F24" s="20"/>
      <c r="G24" s="57">
        <f t="shared" si="0"/>
        <v>0</v>
      </c>
      <c r="H24" s="58">
        <f t="shared" si="1"/>
        <v>9608.7800000000007</v>
      </c>
    </row>
    <row r="25" spans="1:8" ht="22.5" customHeight="1">
      <c r="A25" s="21"/>
      <c r="B25" s="34"/>
      <c r="C25" s="21"/>
      <c r="D25" s="22"/>
      <c r="E25" s="22"/>
      <c r="F25" s="19"/>
      <c r="G25" s="57">
        <f t="shared" si="0"/>
        <v>0</v>
      </c>
      <c r="H25" s="58">
        <f t="shared" si="1"/>
        <v>9608.7800000000007</v>
      </c>
    </row>
    <row r="26" spans="1:8" ht="22.5" customHeight="1">
      <c r="A26" s="21"/>
      <c r="B26" s="34"/>
      <c r="C26" s="21"/>
      <c r="D26" s="22"/>
      <c r="E26" s="22"/>
      <c r="F26" s="20"/>
      <c r="G26" s="57">
        <f t="shared" si="0"/>
        <v>0</v>
      </c>
      <c r="H26" s="58">
        <f t="shared" si="1"/>
        <v>9608.7800000000007</v>
      </c>
    </row>
    <row r="27" spans="1:8" ht="22.5" customHeight="1">
      <c r="A27" s="21"/>
      <c r="B27" s="34"/>
      <c r="C27" s="21"/>
      <c r="D27" s="22"/>
      <c r="E27" s="22"/>
      <c r="F27" s="19"/>
      <c r="G27" s="57">
        <f t="shared" si="0"/>
        <v>0</v>
      </c>
      <c r="H27" s="58">
        <f t="shared" si="1"/>
        <v>9608.7800000000007</v>
      </c>
    </row>
    <row r="28" spans="1:8" ht="22.5" customHeight="1">
      <c r="A28" s="21"/>
      <c r="B28" s="34"/>
      <c r="C28" s="21"/>
      <c r="D28" s="22"/>
      <c r="E28" s="22"/>
      <c r="F28" s="20"/>
      <c r="G28" s="57">
        <f t="shared" si="0"/>
        <v>0</v>
      </c>
      <c r="H28" s="58">
        <f t="shared" si="1"/>
        <v>9608.7800000000007</v>
      </c>
    </row>
    <row r="29" spans="1:8" ht="22.5" customHeight="1">
      <c r="A29" s="21"/>
      <c r="B29" s="34"/>
      <c r="C29" s="21"/>
      <c r="D29" s="22"/>
      <c r="E29" s="22"/>
      <c r="F29" s="19"/>
      <c r="G29" s="57">
        <f t="shared" si="0"/>
        <v>0</v>
      </c>
      <c r="H29" s="58">
        <f t="shared" si="1"/>
        <v>9608.7800000000007</v>
      </c>
    </row>
    <row r="30" spans="1:8" ht="22.5" customHeight="1">
      <c r="A30" s="21"/>
      <c r="B30" s="34"/>
      <c r="C30" s="21"/>
      <c r="D30" s="22"/>
      <c r="E30" s="22"/>
      <c r="F30" s="20"/>
      <c r="G30" s="57">
        <f t="shared" si="0"/>
        <v>0</v>
      </c>
      <c r="H30" s="58">
        <f t="shared" si="1"/>
        <v>9608.7800000000007</v>
      </c>
    </row>
    <row r="31" spans="1:8" ht="22.5" customHeight="1">
      <c r="A31" s="21"/>
      <c r="B31" s="34"/>
      <c r="C31" s="21"/>
      <c r="D31" s="22"/>
      <c r="E31" s="22"/>
      <c r="F31" s="19"/>
      <c r="G31" s="57">
        <f t="shared" si="0"/>
        <v>0</v>
      </c>
      <c r="H31" s="58">
        <f t="shared" si="1"/>
        <v>9608.7800000000007</v>
      </c>
    </row>
    <row r="32" spans="1:8" ht="22.5" customHeight="1">
      <c r="A32" s="21"/>
      <c r="B32" s="34"/>
      <c r="C32" s="21"/>
      <c r="D32" s="22"/>
      <c r="E32" s="22"/>
      <c r="F32" s="20"/>
      <c r="G32" s="57">
        <f t="shared" si="0"/>
        <v>0</v>
      </c>
      <c r="H32" s="58">
        <f t="shared" si="1"/>
        <v>9608.7800000000007</v>
      </c>
    </row>
    <row r="33" spans="1:8" ht="22.5" customHeight="1">
      <c r="A33" s="21"/>
      <c r="B33" s="34"/>
      <c r="C33" s="21"/>
      <c r="D33" s="22"/>
      <c r="E33" s="22"/>
      <c r="F33" s="19"/>
      <c r="G33" s="57">
        <f t="shared" si="0"/>
        <v>0</v>
      </c>
      <c r="H33" s="58">
        <f t="shared" si="1"/>
        <v>9608.7800000000007</v>
      </c>
    </row>
    <row r="34" spans="1:8" ht="22.5" customHeight="1">
      <c r="A34" s="23"/>
      <c r="B34" s="34"/>
      <c r="C34" s="21"/>
      <c r="D34" s="24"/>
      <c r="E34" s="24"/>
      <c r="F34" s="20"/>
      <c r="G34" s="57">
        <f t="shared" si="0"/>
        <v>0</v>
      </c>
      <c r="H34" s="58">
        <f t="shared" si="1"/>
        <v>9608.7800000000007</v>
      </c>
    </row>
    <row r="35" spans="1:8" ht="22.5" customHeight="1">
      <c r="A35" s="23"/>
      <c r="B35" s="34"/>
      <c r="C35" s="21"/>
      <c r="D35" s="24"/>
      <c r="E35" s="24"/>
      <c r="F35" s="19"/>
      <c r="G35" s="57">
        <f t="shared" si="0"/>
        <v>0</v>
      </c>
      <c r="H35" s="58">
        <f t="shared" si="1"/>
        <v>9608.7800000000007</v>
      </c>
    </row>
    <row r="36" spans="1:8" ht="22.5" customHeight="1">
      <c r="A36" s="23"/>
      <c r="B36" s="34"/>
      <c r="C36" s="21"/>
      <c r="D36" s="24"/>
      <c r="E36" s="24"/>
      <c r="F36" s="20"/>
      <c r="G36" s="57">
        <f t="shared" si="0"/>
        <v>0</v>
      </c>
      <c r="H36" s="58">
        <f t="shared" si="1"/>
        <v>9608.7800000000007</v>
      </c>
    </row>
    <row r="37" spans="1:8" ht="22.5" customHeight="1">
      <c r="A37" s="23"/>
      <c r="B37" s="34"/>
      <c r="C37" s="21"/>
      <c r="D37" s="24"/>
      <c r="E37" s="24"/>
      <c r="F37" s="19"/>
      <c r="G37" s="57">
        <f t="shared" si="0"/>
        <v>0</v>
      </c>
      <c r="H37" s="58">
        <f t="shared" si="1"/>
        <v>9608.7800000000007</v>
      </c>
    </row>
    <row r="38" spans="1:8" ht="22.5" customHeight="1">
      <c r="A38" s="23"/>
      <c r="B38" s="34"/>
      <c r="C38" s="21"/>
      <c r="D38" s="24"/>
      <c r="E38" s="24"/>
      <c r="F38" s="25"/>
      <c r="G38" s="57">
        <f t="shared" si="0"/>
        <v>0</v>
      </c>
      <c r="H38" s="58">
        <f t="shared" si="1"/>
        <v>9608.7800000000007</v>
      </c>
    </row>
    <row r="39" spans="1:8" ht="22.5" customHeight="1">
      <c r="A39" s="23"/>
      <c r="B39" s="34"/>
      <c r="C39" s="21"/>
      <c r="D39" s="24"/>
      <c r="E39" s="24"/>
      <c r="F39" s="25"/>
      <c r="G39" s="57">
        <f t="shared" ref="G39:G70" si="2">IF(A39="Despesas",E39*-1,IF(A39="Receitas",E39,0))</f>
        <v>0</v>
      </c>
      <c r="H39" s="58">
        <f t="shared" ref="H39:H70" si="3">H38+G39</f>
        <v>9608.7800000000007</v>
      </c>
    </row>
    <row r="40" spans="1:8" ht="22.5" customHeight="1">
      <c r="A40" s="23"/>
      <c r="B40" s="34"/>
      <c r="C40" s="21"/>
      <c r="D40" s="24"/>
      <c r="E40" s="24"/>
      <c r="F40" s="25"/>
      <c r="G40" s="57">
        <f t="shared" si="2"/>
        <v>0</v>
      </c>
      <c r="H40" s="58">
        <f t="shared" si="3"/>
        <v>9608.7800000000007</v>
      </c>
    </row>
    <row r="41" spans="1:8" ht="22.5" customHeight="1">
      <c r="A41" s="23"/>
      <c r="B41" s="34"/>
      <c r="C41" s="21"/>
      <c r="D41" s="24"/>
      <c r="E41" s="24"/>
      <c r="F41" s="25"/>
      <c r="G41" s="57">
        <f t="shared" si="2"/>
        <v>0</v>
      </c>
      <c r="H41" s="58">
        <f t="shared" si="3"/>
        <v>9608.7800000000007</v>
      </c>
    </row>
    <row r="42" spans="1:8" ht="22.5" customHeight="1">
      <c r="A42" s="23"/>
      <c r="B42" s="34"/>
      <c r="C42" s="21"/>
      <c r="D42" s="24"/>
      <c r="E42" s="24"/>
      <c r="F42" s="25"/>
      <c r="G42" s="57">
        <f t="shared" si="2"/>
        <v>0</v>
      </c>
      <c r="H42" s="58">
        <f t="shared" si="3"/>
        <v>9608.7800000000007</v>
      </c>
    </row>
    <row r="43" spans="1:8" ht="22.5" customHeight="1">
      <c r="A43" s="23"/>
      <c r="B43" s="34"/>
      <c r="C43" s="21"/>
      <c r="D43" s="24"/>
      <c r="E43" s="24"/>
      <c r="F43" s="25"/>
      <c r="G43" s="57">
        <f t="shared" si="2"/>
        <v>0</v>
      </c>
      <c r="H43" s="58">
        <f t="shared" si="3"/>
        <v>9608.7800000000007</v>
      </c>
    </row>
    <row r="44" spans="1:8" ht="22.5" customHeight="1">
      <c r="A44" s="23"/>
      <c r="B44" s="34"/>
      <c r="C44" s="21"/>
      <c r="D44" s="24"/>
      <c r="E44" s="24"/>
      <c r="F44" s="25"/>
      <c r="G44" s="57">
        <f t="shared" si="2"/>
        <v>0</v>
      </c>
      <c r="H44" s="58">
        <f t="shared" si="3"/>
        <v>9608.7800000000007</v>
      </c>
    </row>
    <row r="45" spans="1:8" ht="22.5" customHeight="1">
      <c r="A45" s="23"/>
      <c r="B45" s="34"/>
      <c r="C45" s="21"/>
      <c r="D45" s="24"/>
      <c r="E45" s="24"/>
      <c r="F45" s="25"/>
      <c r="G45" s="57">
        <f t="shared" si="2"/>
        <v>0</v>
      </c>
      <c r="H45" s="58">
        <f t="shared" si="3"/>
        <v>9608.7800000000007</v>
      </c>
    </row>
    <row r="46" spans="1:8" ht="22.5" customHeight="1">
      <c r="A46" s="23"/>
      <c r="B46" s="34"/>
      <c r="C46" s="21"/>
      <c r="D46" s="24"/>
      <c r="E46" s="24"/>
      <c r="F46" s="25"/>
      <c r="G46" s="57">
        <f t="shared" si="2"/>
        <v>0</v>
      </c>
      <c r="H46" s="58">
        <f t="shared" si="3"/>
        <v>9608.7800000000007</v>
      </c>
    </row>
    <row r="47" spans="1:8" ht="22.5" customHeight="1">
      <c r="A47" s="23"/>
      <c r="B47" s="34"/>
      <c r="C47" s="21"/>
      <c r="D47" s="24"/>
      <c r="E47" s="24"/>
      <c r="F47" s="25"/>
      <c r="G47" s="57">
        <f t="shared" si="2"/>
        <v>0</v>
      </c>
      <c r="H47" s="58">
        <f t="shared" si="3"/>
        <v>9608.7800000000007</v>
      </c>
    </row>
    <row r="48" spans="1:8" ht="22.5" customHeight="1">
      <c r="A48" s="23"/>
      <c r="B48" s="34"/>
      <c r="C48" s="21"/>
      <c r="D48" s="24"/>
      <c r="E48" s="24"/>
      <c r="F48" s="25"/>
      <c r="G48" s="57">
        <f t="shared" si="2"/>
        <v>0</v>
      </c>
      <c r="H48" s="58">
        <f t="shared" si="3"/>
        <v>9608.7800000000007</v>
      </c>
    </row>
    <row r="49" spans="1:8" ht="22.5" customHeight="1">
      <c r="A49" s="23"/>
      <c r="B49" s="34"/>
      <c r="C49" s="21"/>
      <c r="D49" s="24"/>
      <c r="E49" s="24"/>
      <c r="F49" s="25"/>
      <c r="G49" s="57">
        <f t="shared" si="2"/>
        <v>0</v>
      </c>
      <c r="H49" s="58">
        <f t="shared" si="3"/>
        <v>9608.7800000000007</v>
      </c>
    </row>
    <row r="50" spans="1:8" ht="22.5" customHeight="1">
      <c r="A50" s="23"/>
      <c r="B50" s="34"/>
      <c r="C50" s="21"/>
      <c r="D50" s="24"/>
      <c r="E50" s="24"/>
      <c r="F50" s="25"/>
      <c r="G50" s="57">
        <f t="shared" si="2"/>
        <v>0</v>
      </c>
      <c r="H50" s="58">
        <f t="shared" si="3"/>
        <v>9608.7800000000007</v>
      </c>
    </row>
    <row r="51" spans="1:8" ht="22.5" customHeight="1">
      <c r="A51" s="23"/>
      <c r="B51" s="34"/>
      <c r="C51" s="21"/>
      <c r="D51" s="24"/>
      <c r="E51" s="24"/>
      <c r="F51" s="25"/>
      <c r="G51" s="57">
        <f t="shared" si="2"/>
        <v>0</v>
      </c>
      <c r="H51" s="58">
        <f t="shared" si="3"/>
        <v>9608.7800000000007</v>
      </c>
    </row>
    <row r="52" spans="1:8" ht="22.5" customHeight="1">
      <c r="A52" s="23"/>
      <c r="B52" s="34"/>
      <c r="C52" s="21"/>
      <c r="D52" s="24"/>
      <c r="E52" s="24"/>
      <c r="F52" s="25"/>
      <c r="G52" s="57">
        <f t="shared" si="2"/>
        <v>0</v>
      </c>
      <c r="H52" s="58">
        <f t="shared" si="3"/>
        <v>9608.7800000000007</v>
      </c>
    </row>
    <row r="53" spans="1:8" ht="22.5" customHeight="1">
      <c r="A53" s="23"/>
      <c r="B53" s="34"/>
      <c r="C53" s="21"/>
      <c r="D53" s="24"/>
      <c r="E53" s="24"/>
      <c r="F53" s="25"/>
      <c r="G53" s="57">
        <f t="shared" si="2"/>
        <v>0</v>
      </c>
      <c r="H53" s="58">
        <f t="shared" si="3"/>
        <v>9608.7800000000007</v>
      </c>
    </row>
    <row r="54" spans="1:8" ht="22.5" customHeight="1">
      <c r="A54" s="23"/>
      <c r="B54" s="34"/>
      <c r="C54" s="21"/>
      <c r="D54" s="24"/>
      <c r="E54" s="24"/>
      <c r="F54" s="25"/>
      <c r="G54" s="57">
        <f t="shared" si="2"/>
        <v>0</v>
      </c>
      <c r="H54" s="58">
        <f t="shared" si="3"/>
        <v>9608.7800000000007</v>
      </c>
    </row>
    <row r="55" spans="1:8" ht="22.5" customHeight="1">
      <c r="A55" s="23"/>
      <c r="B55" s="34"/>
      <c r="C55" s="21"/>
      <c r="D55" s="24"/>
      <c r="E55" s="24"/>
      <c r="F55" s="25"/>
      <c r="G55" s="57">
        <f t="shared" si="2"/>
        <v>0</v>
      </c>
      <c r="H55" s="58">
        <f t="shared" si="3"/>
        <v>9608.7800000000007</v>
      </c>
    </row>
    <row r="56" spans="1:8" ht="22.5" customHeight="1">
      <c r="A56" s="23"/>
      <c r="B56" s="34"/>
      <c r="C56" s="21"/>
      <c r="D56" s="24"/>
      <c r="E56" s="24"/>
      <c r="F56" s="25"/>
      <c r="G56" s="57">
        <f t="shared" si="2"/>
        <v>0</v>
      </c>
      <c r="H56" s="58">
        <f t="shared" si="3"/>
        <v>9608.7800000000007</v>
      </c>
    </row>
    <row r="57" spans="1:8" ht="22.5" customHeight="1">
      <c r="A57" s="23"/>
      <c r="B57" s="34"/>
      <c r="C57" s="21"/>
      <c r="D57" s="24"/>
      <c r="E57" s="24"/>
      <c r="F57" s="25"/>
      <c r="G57" s="57">
        <f t="shared" si="2"/>
        <v>0</v>
      </c>
      <c r="H57" s="58">
        <f t="shared" si="3"/>
        <v>9608.7800000000007</v>
      </c>
    </row>
    <row r="58" spans="1:8" ht="22.5" customHeight="1">
      <c r="A58" s="23"/>
      <c r="B58" s="34"/>
      <c r="C58" s="21"/>
      <c r="D58" s="24"/>
      <c r="E58" s="24"/>
      <c r="F58" s="25"/>
      <c r="G58" s="57">
        <f t="shared" si="2"/>
        <v>0</v>
      </c>
      <c r="H58" s="58">
        <f t="shared" si="3"/>
        <v>9608.7800000000007</v>
      </c>
    </row>
    <row r="59" spans="1:8" ht="22.5" customHeight="1">
      <c r="A59" s="23"/>
      <c r="B59" s="34"/>
      <c r="C59" s="21"/>
      <c r="D59" s="24"/>
      <c r="E59" s="24"/>
      <c r="F59" s="25"/>
      <c r="G59" s="57">
        <f t="shared" si="2"/>
        <v>0</v>
      </c>
      <c r="H59" s="58">
        <f t="shared" si="3"/>
        <v>9608.7800000000007</v>
      </c>
    </row>
    <row r="60" spans="1:8" ht="22.5" customHeight="1">
      <c r="A60" s="23"/>
      <c r="B60" s="34"/>
      <c r="C60" s="21"/>
      <c r="D60" s="24"/>
      <c r="E60" s="24"/>
      <c r="F60" s="25"/>
      <c r="G60" s="57">
        <f t="shared" si="2"/>
        <v>0</v>
      </c>
      <c r="H60" s="58">
        <f t="shared" si="3"/>
        <v>9608.7800000000007</v>
      </c>
    </row>
    <row r="61" spans="1:8" ht="22.5" customHeight="1">
      <c r="A61" s="23"/>
      <c r="B61" s="34"/>
      <c r="C61" s="21"/>
      <c r="D61" s="24"/>
      <c r="E61" s="24"/>
      <c r="F61" s="25"/>
      <c r="G61" s="57">
        <f t="shared" si="2"/>
        <v>0</v>
      </c>
      <c r="H61" s="58">
        <f t="shared" si="3"/>
        <v>9608.7800000000007</v>
      </c>
    </row>
    <row r="62" spans="1:8" ht="22.5" customHeight="1">
      <c r="A62" s="23"/>
      <c r="B62" s="34"/>
      <c r="C62" s="21"/>
      <c r="D62" s="24"/>
      <c r="E62" s="24"/>
      <c r="F62" s="25"/>
      <c r="G62" s="57">
        <f t="shared" si="2"/>
        <v>0</v>
      </c>
      <c r="H62" s="58">
        <f t="shared" si="3"/>
        <v>9608.7800000000007</v>
      </c>
    </row>
    <row r="63" spans="1:8" ht="22.5" customHeight="1">
      <c r="A63" s="23"/>
      <c r="B63" s="34"/>
      <c r="C63" s="21"/>
      <c r="D63" s="24"/>
      <c r="E63" s="24"/>
      <c r="F63" s="25"/>
      <c r="G63" s="57">
        <f t="shared" si="2"/>
        <v>0</v>
      </c>
      <c r="H63" s="58">
        <f t="shared" si="3"/>
        <v>9608.7800000000007</v>
      </c>
    </row>
    <row r="64" spans="1:8" ht="22.5" customHeight="1">
      <c r="A64" s="23"/>
      <c r="B64" s="34"/>
      <c r="C64" s="21"/>
      <c r="D64" s="24"/>
      <c r="E64" s="24"/>
      <c r="F64" s="25"/>
      <c r="G64" s="57">
        <f t="shared" si="2"/>
        <v>0</v>
      </c>
      <c r="H64" s="58">
        <f t="shared" si="3"/>
        <v>9608.7800000000007</v>
      </c>
    </row>
    <row r="65" spans="1:8" ht="22.5" customHeight="1">
      <c r="A65" s="23"/>
      <c r="B65" s="34"/>
      <c r="C65" s="21"/>
      <c r="D65" s="24"/>
      <c r="E65" s="24"/>
      <c r="F65" s="25"/>
      <c r="G65" s="57">
        <f t="shared" si="2"/>
        <v>0</v>
      </c>
      <c r="H65" s="58">
        <f t="shared" si="3"/>
        <v>9608.7800000000007</v>
      </c>
    </row>
    <row r="66" spans="1:8" ht="22.5" customHeight="1">
      <c r="A66" s="23"/>
      <c r="B66" s="34"/>
      <c r="C66" s="21"/>
      <c r="D66" s="24"/>
      <c r="E66" s="24"/>
      <c r="F66" s="25"/>
      <c r="G66" s="57">
        <f t="shared" si="2"/>
        <v>0</v>
      </c>
      <c r="H66" s="58">
        <f t="shared" si="3"/>
        <v>9608.7800000000007</v>
      </c>
    </row>
    <row r="67" spans="1:8" ht="22.5" customHeight="1">
      <c r="A67" s="23"/>
      <c r="B67" s="34"/>
      <c r="C67" s="21"/>
      <c r="D67" s="24"/>
      <c r="E67" s="24"/>
      <c r="F67" s="25"/>
      <c r="G67" s="57">
        <f t="shared" si="2"/>
        <v>0</v>
      </c>
      <c r="H67" s="58">
        <f t="shared" si="3"/>
        <v>9608.7800000000007</v>
      </c>
    </row>
    <row r="68" spans="1:8" ht="22.5" customHeight="1">
      <c r="A68" s="23"/>
      <c r="B68" s="34"/>
      <c r="C68" s="21"/>
      <c r="D68" s="24"/>
      <c r="E68" s="24"/>
      <c r="F68" s="25"/>
      <c r="G68" s="57">
        <f t="shared" si="2"/>
        <v>0</v>
      </c>
      <c r="H68" s="58">
        <f t="shared" si="3"/>
        <v>9608.7800000000007</v>
      </c>
    </row>
    <row r="69" spans="1:8" ht="22.5" customHeight="1">
      <c r="A69" s="23"/>
      <c r="B69" s="34"/>
      <c r="C69" s="21"/>
      <c r="D69" s="24"/>
      <c r="E69" s="24"/>
      <c r="F69" s="25"/>
      <c r="G69" s="57">
        <f t="shared" si="2"/>
        <v>0</v>
      </c>
      <c r="H69" s="58">
        <f t="shared" si="3"/>
        <v>9608.7800000000007</v>
      </c>
    </row>
    <row r="70" spans="1:8" ht="22.5" customHeight="1">
      <c r="A70" s="23"/>
      <c r="B70" s="34"/>
      <c r="C70" s="21"/>
      <c r="D70" s="24"/>
      <c r="E70" s="24"/>
      <c r="F70" s="25"/>
      <c r="G70" s="57">
        <f t="shared" si="2"/>
        <v>0</v>
      </c>
      <c r="H70" s="58">
        <f t="shared" si="3"/>
        <v>9608.7800000000007</v>
      </c>
    </row>
    <row r="71" spans="1:8" ht="22.5" customHeight="1">
      <c r="A71" s="23"/>
      <c r="B71" s="34"/>
      <c r="C71" s="21"/>
      <c r="D71" s="24"/>
      <c r="E71" s="24"/>
      <c r="F71" s="25"/>
      <c r="G71" s="57">
        <f t="shared" ref="G71:G102" si="4">IF(A71="Despesas",E71*-1,IF(A71="Receitas",E71,0))</f>
        <v>0</v>
      </c>
      <c r="H71" s="58">
        <f t="shared" ref="H71:H102" si="5">H70+G71</f>
        <v>9608.7800000000007</v>
      </c>
    </row>
    <row r="72" spans="1:8" ht="22.5" customHeight="1">
      <c r="A72" s="23"/>
      <c r="B72" s="34"/>
      <c r="C72" s="21"/>
      <c r="D72" s="24"/>
      <c r="E72" s="24"/>
      <c r="F72" s="25"/>
      <c r="G72" s="57">
        <f t="shared" si="4"/>
        <v>0</v>
      </c>
      <c r="H72" s="58">
        <f t="shared" si="5"/>
        <v>9608.7800000000007</v>
      </c>
    </row>
    <row r="73" spans="1:8" ht="22.5" customHeight="1">
      <c r="A73" s="23"/>
      <c r="B73" s="34"/>
      <c r="C73" s="21"/>
      <c r="D73" s="24"/>
      <c r="E73" s="24"/>
      <c r="F73" s="25"/>
      <c r="G73" s="57">
        <f t="shared" si="4"/>
        <v>0</v>
      </c>
      <c r="H73" s="58">
        <f t="shared" si="5"/>
        <v>9608.7800000000007</v>
      </c>
    </row>
    <row r="74" spans="1:8" ht="22.5" customHeight="1">
      <c r="A74" s="23"/>
      <c r="B74" s="34"/>
      <c r="C74" s="21"/>
      <c r="D74" s="24"/>
      <c r="E74" s="24"/>
      <c r="F74" s="25"/>
      <c r="G74" s="57">
        <f t="shared" si="4"/>
        <v>0</v>
      </c>
      <c r="H74" s="58">
        <f t="shared" si="5"/>
        <v>9608.7800000000007</v>
      </c>
    </row>
    <row r="75" spans="1:8" ht="22.5" customHeight="1">
      <c r="A75" s="23"/>
      <c r="B75" s="34"/>
      <c r="C75" s="21"/>
      <c r="D75" s="24"/>
      <c r="E75" s="24"/>
      <c r="F75" s="25"/>
      <c r="G75" s="57">
        <f t="shared" si="4"/>
        <v>0</v>
      </c>
      <c r="H75" s="58">
        <f t="shared" si="5"/>
        <v>9608.7800000000007</v>
      </c>
    </row>
    <row r="76" spans="1:8" ht="22.5" customHeight="1">
      <c r="A76" s="23"/>
      <c r="B76" s="34"/>
      <c r="C76" s="21"/>
      <c r="D76" s="24"/>
      <c r="E76" s="24"/>
      <c r="F76" s="25"/>
      <c r="G76" s="57">
        <f t="shared" si="4"/>
        <v>0</v>
      </c>
      <c r="H76" s="58">
        <f t="shared" si="5"/>
        <v>9608.7800000000007</v>
      </c>
    </row>
    <row r="77" spans="1:8" ht="22.5" customHeight="1">
      <c r="A77" s="23"/>
      <c r="B77" s="34"/>
      <c r="C77" s="21"/>
      <c r="D77" s="24"/>
      <c r="E77" s="24"/>
      <c r="F77" s="25"/>
      <c r="G77" s="57">
        <f t="shared" si="4"/>
        <v>0</v>
      </c>
      <c r="H77" s="58">
        <f t="shared" si="5"/>
        <v>9608.7800000000007</v>
      </c>
    </row>
    <row r="78" spans="1:8" ht="22.5" customHeight="1">
      <c r="A78" s="23"/>
      <c r="B78" s="34"/>
      <c r="C78" s="21"/>
      <c r="D78" s="24"/>
      <c r="E78" s="24"/>
      <c r="F78" s="25"/>
      <c r="G78" s="57">
        <f t="shared" si="4"/>
        <v>0</v>
      </c>
      <c r="H78" s="58">
        <f t="shared" si="5"/>
        <v>9608.7800000000007</v>
      </c>
    </row>
    <row r="79" spans="1:8" ht="22.5" customHeight="1">
      <c r="A79" s="23"/>
      <c r="B79" s="34"/>
      <c r="C79" s="21"/>
      <c r="D79" s="24"/>
      <c r="E79" s="24"/>
      <c r="F79" s="25"/>
      <c r="G79" s="57">
        <f t="shared" si="4"/>
        <v>0</v>
      </c>
      <c r="H79" s="58">
        <f t="shared" si="5"/>
        <v>9608.7800000000007</v>
      </c>
    </row>
    <row r="80" spans="1:8" ht="22.5" customHeight="1">
      <c r="A80" s="23"/>
      <c r="B80" s="34"/>
      <c r="C80" s="21"/>
      <c r="D80" s="24"/>
      <c r="E80" s="24"/>
      <c r="F80" s="25"/>
      <c r="G80" s="57">
        <f t="shared" si="4"/>
        <v>0</v>
      </c>
      <c r="H80" s="58">
        <f t="shared" si="5"/>
        <v>9608.7800000000007</v>
      </c>
    </row>
    <row r="81" spans="1:8" ht="22.5" customHeight="1">
      <c r="A81" s="23"/>
      <c r="B81" s="34"/>
      <c r="C81" s="21"/>
      <c r="D81" s="24"/>
      <c r="E81" s="24"/>
      <c r="F81" s="25"/>
      <c r="G81" s="57">
        <f t="shared" si="4"/>
        <v>0</v>
      </c>
      <c r="H81" s="58">
        <f t="shared" si="5"/>
        <v>9608.7800000000007</v>
      </c>
    </row>
    <row r="82" spans="1:8" ht="22.5" customHeight="1">
      <c r="A82" s="23"/>
      <c r="B82" s="34"/>
      <c r="C82" s="21"/>
      <c r="D82" s="24"/>
      <c r="E82" s="24"/>
      <c r="F82" s="25"/>
      <c r="G82" s="57">
        <f t="shared" si="4"/>
        <v>0</v>
      </c>
      <c r="H82" s="58">
        <f t="shared" si="5"/>
        <v>9608.7800000000007</v>
      </c>
    </row>
    <row r="83" spans="1:8" ht="22.5" customHeight="1">
      <c r="A83" s="23"/>
      <c r="B83" s="34"/>
      <c r="C83" s="21"/>
      <c r="D83" s="24"/>
      <c r="E83" s="24"/>
      <c r="F83" s="25"/>
      <c r="G83" s="57">
        <f t="shared" si="4"/>
        <v>0</v>
      </c>
      <c r="H83" s="58">
        <f t="shared" si="5"/>
        <v>9608.7800000000007</v>
      </c>
    </row>
    <row r="84" spans="1:8" ht="22.5" customHeight="1">
      <c r="A84" s="23"/>
      <c r="B84" s="34"/>
      <c r="C84" s="21"/>
      <c r="D84" s="24"/>
      <c r="E84" s="24"/>
      <c r="F84" s="25"/>
      <c r="G84" s="57">
        <f t="shared" si="4"/>
        <v>0</v>
      </c>
      <c r="H84" s="58">
        <f t="shared" si="5"/>
        <v>9608.7800000000007</v>
      </c>
    </row>
    <row r="85" spans="1:8" ht="22.5" customHeight="1">
      <c r="A85" s="23"/>
      <c r="B85" s="34"/>
      <c r="C85" s="21"/>
      <c r="D85" s="24"/>
      <c r="E85" s="24"/>
      <c r="F85" s="25"/>
      <c r="G85" s="57">
        <f t="shared" si="4"/>
        <v>0</v>
      </c>
      <c r="H85" s="58">
        <f t="shared" si="5"/>
        <v>9608.7800000000007</v>
      </c>
    </row>
    <row r="86" spans="1:8" ht="22.5" customHeight="1">
      <c r="A86" s="23"/>
      <c r="B86" s="34"/>
      <c r="C86" s="21"/>
      <c r="D86" s="24"/>
      <c r="E86" s="24"/>
      <c r="F86" s="25"/>
      <c r="G86" s="57">
        <f t="shared" si="4"/>
        <v>0</v>
      </c>
      <c r="H86" s="58">
        <f t="shared" si="5"/>
        <v>9608.7800000000007</v>
      </c>
    </row>
    <row r="87" spans="1:8" ht="22.5" customHeight="1">
      <c r="A87" s="23"/>
      <c r="B87" s="34"/>
      <c r="C87" s="21"/>
      <c r="D87" s="24"/>
      <c r="E87" s="24"/>
      <c r="F87" s="25"/>
      <c r="G87" s="57">
        <f t="shared" si="4"/>
        <v>0</v>
      </c>
      <c r="H87" s="58">
        <f t="shared" si="5"/>
        <v>9608.7800000000007</v>
      </c>
    </row>
    <row r="88" spans="1:8" ht="22.5" customHeight="1">
      <c r="A88" s="23"/>
      <c r="B88" s="34"/>
      <c r="C88" s="21"/>
      <c r="D88" s="24"/>
      <c r="E88" s="24"/>
      <c r="F88" s="25"/>
      <c r="G88" s="57">
        <f t="shared" si="4"/>
        <v>0</v>
      </c>
      <c r="H88" s="58">
        <f t="shared" si="5"/>
        <v>9608.7800000000007</v>
      </c>
    </row>
    <row r="89" spans="1:8" ht="22.5" customHeight="1">
      <c r="A89" s="23"/>
      <c r="B89" s="34"/>
      <c r="C89" s="21"/>
      <c r="D89" s="24"/>
      <c r="E89" s="24"/>
      <c r="F89" s="25"/>
      <c r="G89" s="57">
        <f t="shared" si="4"/>
        <v>0</v>
      </c>
      <c r="H89" s="58">
        <f t="shared" si="5"/>
        <v>9608.7800000000007</v>
      </c>
    </row>
    <row r="90" spans="1:8" ht="22.5" customHeight="1">
      <c r="A90" s="23"/>
      <c r="B90" s="34"/>
      <c r="C90" s="21"/>
      <c r="D90" s="24"/>
      <c r="E90" s="24"/>
      <c r="F90" s="25"/>
      <c r="G90" s="57">
        <f t="shared" si="4"/>
        <v>0</v>
      </c>
      <c r="H90" s="58">
        <f t="shared" si="5"/>
        <v>9608.7800000000007</v>
      </c>
    </row>
    <row r="91" spans="1:8" ht="22.5" customHeight="1">
      <c r="A91" s="23"/>
      <c r="B91" s="34"/>
      <c r="C91" s="21"/>
      <c r="D91" s="24"/>
      <c r="E91" s="24"/>
      <c r="F91" s="25"/>
      <c r="G91" s="57">
        <f t="shared" si="4"/>
        <v>0</v>
      </c>
      <c r="H91" s="58">
        <f t="shared" si="5"/>
        <v>9608.7800000000007</v>
      </c>
    </row>
    <row r="92" spans="1:8" ht="22.5" customHeight="1">
      <c r="A92" s="23"/>
      <c r="B92" s="34"/>
      <c r="C92" s="21"/>
      <c r="D92" s="24"/>
      <c r="E92" s="24"/>
      <c r="F92" s="25"/>
      <c r="G92" s="57">
        <f t="shared" si="4"/>
        <v>0</v>
      </c>
      <c r="H92" s="58">
        <f t="shared" si="5"/>
        <v>9608.7800000000007</v>
      </c>
    </row>
    <row r="93" spans="1:8" ht="22.5" customHeight="1">
      <c r="A93" s="23"/>
      <c r="B93" s="34"/>
      <c r="C93" s="21"/>
      <c r="D93" s="24"/>
      <c r="E93" s="24"/>
      <c r="F93" s="25"/>
      <c r="G93" s="57">
        <f t="shared" si="4"/>
        <v>0</v>
      </c>
      <c r="H93" s="58">
        <f t="shared" si="5"/>
        <v>9608.7800000000007</v>
      </c>
    </row>
    <row r="94" spans="1:8" ht="22.5" customHeight="1">
      <c r="A94" s="23"/>
      <c r="B94" s="34"/>
      <c r="C94" s="21"/>
      <c r="D94" s="24"/>
      <c r="E94" s="24"/>
      <c r="F94" s="25"/>
      <c r="G94" s="57">
        <f t="shared" si="4"/>
        <v>0</v>
      </c>
      <c r="H94" s="58">
        <f t="shared" si="5"/>
        <v>9608.7800000000007</v>
      </c>
    </row>
    <row r="95" spans="1:8" ht="22.5" customHeight="1">
      <c r="A95" s="23"/>
      <c r="B95" s="34"/>
      <c r="C95" s="21"/>
      <c r="D95" s="24"/>
      <c r="E95" s="24"/>
      <c r="F95" s="25"/>
      <c r="G95" s="57">
        <f t="shared" si="4"/>
        <v>0</v>
      </c>
      <c r="H95" s="58">
        <f t="shared" si="5"/>
        <v>9608.7800000000007</v>
      </c>
    </row>
    <row r="96" spans="1:8" ht="22.5" customHeight="1">
      <c r="A96" s="23"/>
      <c r="B96" s="34"/>
      <c r="C96" s="21"/>
      <c r="D96" s="24"/>
      <c r="E96" s="24"/>
      <c r="F96" s="25"/>
      <c r="G96" s="57">
        <f t="shared" si="4"/>
        <v>0</v>
      </c>
      <c r="H96" s="58">
        <f t="shared" si="5"/>
        <v>9608.7800000000007</v>
      </c>
    </row>
    <row r="97" spans="1:8" ht="22.5" customHeight="1">
      <c r="A97" s="23"/>
      <c r="B97" s="34"/>
      <c r="C97" s="21"/>
      <c r="D97" s="24"/>
      <c r="E97" s="24"/>
      <c r="F97" s="25"/>
      <c r="G97" s="57">
        <f t="shared" si="4"/>
        <v>0</v>
      </c>
      <c r="H97" s="58">
        <f t="shared" si="5"/>
        <v>9608.7800000000007</v>
      </c>
    </row>
    <row r="98" spans="1:8" ht="22.5" customHeight="1">
      <c r="A98" s="23"/>
      <c r="B98" s="34"/>
      <c r="C98" s="21"/>
      <c r="D98" s="24"/>
      <c r="E98" s="24"/>
      <c r="F98" s="25"/>
      <c r="G98" s="57">
        <f t="shared" si="4"/>
        <v>0</v>
      </c>
      <c r="H98" s="58">
        <f t="shared" si="5"/>
        <v>9608.7800000000007</v>
      </c>
    </row>
    <row r="99" spans="1:8" ht="22.5" customHeight="1">
      <c r="A99" s="23"/>
      <c r="B99" s="34"/>
      <c r="C99" s="21"/>
      <c r="D99" s="24"/>
      <c r="E99" s="24"/>
      <c r="F99" s="25"/>
      <c r="G99" s="57">
        <f t="shared" si="4"/>
        <v>0</v>
      </c>
      <c r="H99" s="58">
        <f t="shared" si="5"/>
        <v>9608.7800000000007</v>
      </c>
    </row>
    <row r="100" spans="1:8" ht="22.5" customHeight="1">
      <c r="A100" s="23"/>
      <c r="B100" s="34"/>
      <c r="C100" s="21"/>
      <c r="D100" s="24"/>
      <c r="E100" s="24"/>
      <c r="F100" s="25"/>
      <c r="G100" s="57">
        <f t="shared" si="4"/>
        <v>0</v>
      </c>
      <c r="H100" s="58">
        <f t="shared" si="5"/>
        <v>9608.7800000000007</v>
      </c>
    </row>
    <row r="101" spans="1:8" ht="22.5" customHeight="1">
      <c r="A101" s="23"/>
      <c r="B101" s="34"/>
      <c r="C101" s="21"/>
      <c r="D101" s="24"/>
      <c r="E101" s="24"/>
      <c r="F101" s="25"/>
      <c r="G101" s="57">
        <f t="shared" si="4"/>
        <v>0</v>
      </c>
      <c r="H101" s="58">
        <f t="shared" si="5"/>
        <v>9608.7800000000007</v>
      </c>
    </row>
    <row r="102" spans="1:8" ht="22.5" customHeight="1">
      <c r="A102" s="23"/>
      <c r="B102" s="34"/>
      <c r="C102" s="21"/>
      <c r="D102" s="24"/>
      <c r="E102" s="24"/>
      <c r="F102" s="25"/>
      <c r="G102" s="57">
        <f t="shared" si="4"/>
        <v>0</v>
      </c>
      <c r="H102" s="58">
        <f t="shared" si="5"/>
        <v>9608.7800000000007</v>
      </c>
    </row>
    <row r="103" spans="1:8" ht="22.5" customHeight="1">
      <c r="A103" s="23"/>
      <c r="B103" s="34"/>
      <c r="C103" s="21"/>
      <c r="D103" s="24"/>
      <c r="E103" s="24"/>
      <c r="F103" s="25"/>
      <c r="G103" s="57">
        <f t="shared" ref="G103:G134" si="6">IF(A103="Despesas",E103*-1,IF(A103="Receitas",E103,0))</f>
        <v>0</v>
      </c>
      <c r="H103" s="58">
        <f t="shared" ref="H103:H134" si="7">H102+G103</f>
        <v>9608.7800000000007</v>
      </c>
    </row>
    <row r="104" spans="1:8" ht="22.5" customHeight="1">
      <c r="A104" s="23"/>
      <c r="B104" s="34"/>
      <c r="C104" s="21"/>
      <c r="D104" s="24"/>
      <c r="E104" s="24"/>
      <c r="F104" s="25"/>
      <c r="G104" s="57">
        <f t="shared" si="6"/>
        <v>0</v>
      </c>
      <c r="H104" s="58">
        <f t="shared" si="7"/>
        <v>9608.7800000000007</v>
      </c>
    </row>
    <row r="105" spans="1:8" ht="22.5" customHeight="1">
      <c r="A105" s="23"/>
      <c r="B105" s="34"/>
      <c r="C105" s="21"/>
      <c r="D105" s="24"/>
      <c r="E105" s="24"/>
      <c r="F105" s="25"/>
      <c r="G105" s="57">
        <f t="shared" si="6"/>
        <v>0</v>
      </c>
      <c r="H105" s="58">
        <f t="shared" si="7"/>
        <v>9608.7800000000007</v>
      </c>
    </row>
    <row r="106" spans="1:8" ht="22.5" customHeight="1">
      <c r="A106" s="23"/>
      <c r="B106" s="34"/>
      <c r="C106" s="21"/>
      <c r="D106" s="24"/>
      <c r="E106" s="24"/>
      <c r="F106" s="25"/>
      <c r="G106" s="57">
        <f t="shared" si="6"/>
        <v>0</v>
      </c>
      <c r="H106" s="58">
        <f t="shared" si="7"/>
        <v>9608.7800000000007</v>
      </c>
    </row>
    <row r="107" spans="1:8" ht="22.5" customHeight="1">
      <c r="A107" s="23"/>
      <c r="B107" s="34"/>
      <c r="C107" s="21"/>
      <c r="D107" s="24"/>
      <c r="E107" s="24"/>
      <c r="F107" s="25"/>
      <c r="G107" s="57">
        <f t="shared" si="6"/>
        <v>0</v>
      </c>
      <c r="H107" s="58">
        <f t="shared" si="7"/>
        <v>9608.7800000000007</v>
      </c>
    </row>
    <row r="108" spans="1:8" ht="22.5" customHeight="1">
      <c r="A108" s="23"/>
      <c r="B108" s="34"/>
      <c r="C108" s="21"/>
      <c r="D108" s="24"/>
      <c r="E108" s="24"/>
      <c r="F108" s="25"/>
      <c r="G108" s="57">
        <f t="shared" si="6"/>
        <v>0</v>
      </c>
      <c r="H108" s="58">
        <f t="shared" si="7"/>
        <v>9608.7800000000007</v>
      </c>
    </row>
    <row r="109" spans="1:8" ht="22.5" customHeight="1">
      <c r="A109" s="23"/>
      <c r="B109" s="34"/>
      <c r="C109" s="21"/>
      <c r="D109" s="24"/>
      <c r="E109" s="24"/>
      <c r="F109" s="25"/>
      <c r="G109" s="57">
        <f t="shared" si="6"/>
        <v>0</v>
      </c>
      <c r="H109" s="58">
        <f t="shared" si="7"/>
        <v>9608.7800000000007</v>
      </c>
    </row>
    <row r="110" spans="1:8" ht="22.5" customHeight="1">
      <c r="A110" s="23"/>
      <c r="B110" s="34"/>
      <c r="C110" s="21"/>
      <c r="D110" s="24"/>
      <c r="E110" s="24"/>
      <c r="F110" s="25"/>
      <c r="G110" s="57">
        <f t="shared" si="6"/>
        <v>0</v>
      </c>
      <c r="H110" s="58">
        <f t="shared" si="7"/>
        <v>9608.7800000000007</v>
      </c>
    </row>
    <row r="111" spans="1:8" ht="22.5" customHeight="1">
      <c r="A111" s="23"/>
      <c r="B111" s="34"/>
      <c r="C111" s="21"/>
      <c r="D111" s="24"/>
      <c r="E111" s="24"/>
      <c r="F111" s="25"/>
      <c r="G111" s="57">
        <f t="shared" si="6"/>
        <v>0</v>
      </c>
      <c r="H111" s="58">
        <f t="shared" si="7"/>
        <v>9608.7800000000007</v>
      </c>
    </row>
    <row r="112" spans="1:8" ht="22.5" customHeight="1">
      <c r="A112" s="23"/>
      <c r="B112" s="34"/>
      <c r="C112" s="21"/>
      <c r="D112" s="24"/>
      <c r="E112" s="24"/>
      <c r="F112" s="25"/>
      <c r="G112" s="57">
        <f t="shared" si="6"/>
        <v>0</v>
      </c>
      <c r="H112" s="58">
        <f t="shared" si="7"/>
        <v>9608.7800000000007</v>
      </c>
    </row>
    <row r="113" spans="1:8" ht="22.5" customHeight="1">
      <c r="A113" s="23"/>
      <c r="B113" s="34"/>
      <c r="C113" s="21"/>
      <c r="D113" s="24"/>
      <c r="E113" s="24"/>
      <c r="F113" s="25"/>
      <c r="G113" s="57">
        <f t="shared" si="6"/>
        <v>0</v>
      </c>
      <c r="H113" s="58">
        <f t="shared" si="7"/>
        <v>9608.7800000000007</v>
      </c>
    </row>
    <row r="114" spans="1:8" ht="22.5" customHeight="1">
      <c r="A114" s="23"/>
      <c r="B114" s="34"/>
      <c r="C114" s="21"/>
      <c r="D114" s="24"/>
      <c r="E114" s="24"/>
      <c r="F114" s="25"/>
      <c r="G114" s="57">
        <f t="shared" si="6"/>
        <v>0</v>
      </c>
      <c r="H114" s="58">
        <f t="shared" si="7"/>
        <v>9608.7800000000007</v>
      </c>
    </row>
    <row r="115" spans="1:8" ht="22.5" customHeight="1">
      <c r="A115" s="23"/>
      <c r="B115" s="34"/>
      <c r="C115" s="21"/>
      <c r="D115" s="24"/>
      <c r="E115" s="24"/>
      <c r="F115" s="25"/>
      <c r="G115" s="57">
        <f t="shared" si="6"/>
        <v>0</v>
      </c>
      <c r="H115" s="58">
        <f t="shared" si="7"/>
        <v>9608.7800000000007</v>
      </c>
    </row>
    <row r="116" spans="1:8" ht="22.5" customHeight="1">
      <c r="A116" s="23"/>
      <c r="B116" s="34"/>
      <c r="C116" s="21"/>
      <c r="D116" s="24"/>
      <c r="E116" s="24"/>
      <c r="F116" s="25"/>
      <c r="G116" s="57">
        <f t="shared" si="6"/>
        <v>0</v>
      </c>
      <c r="H116" s="58">
        <f t="shared" si="7"/>
        <v>9608.7800000000007</v>
      </c>
    </row>
    <row r="117" spans="1:8" ht="22.5" customHeight="1">
      <c r="A117" s="23"/>
      <c r="B117" s="34"/>
      <c r="C117" s="21"/>
      <c r="D117" s="24"/>
      <c r="E117" s="24"/>
      <c r="F117" s="25"/>
      <c r="G117" s="57">
        <f t="shared" si="6"/>
        <v>0</v>
      </c>
      <c r="H117" s="58">
        <f t="shared" si="7"/>
        <v>9608.7800000000007</v>
      </c>
    </row>
    <row r="118" spans="1:8" ht="22.5" customHeight="1">
      <c r="A118" s="23"/>
      <c r="B118" s="34"/>
      <c r="C118" s="21"/>
      <c r="D118" s="24"/>
      <c r="E118" s="24"/>
      <c r="F118" s="25"/>
      <c r="G118" s="57">
        <f t="shared" si="6"/>
        <v>0</v>
      </c>
      <c r="H118" s="58">
        <f t="shared" si="7"/>
        <v>9608.7800000000007</v>
      </c>
    </row>
    <row r="119" spans="1:8" ht="22.5" customHeight="1">
      <c r="A119" s="23"/>
      <c r="B119" s="34"/>
      <c r="C119" s="21"/>
      <c r="D119" s="24"/>
      <c r="E119" s="24"/>
      <c r="F119" s="25"/>
      <c r="G119" s="57">
        <f t="shared" si="6"/>
        <v>0</v>
      </c>
      <c r="H119" s="58">
        <f t="shared" si="7"/>
        <v>9608.7800000000007</v>
      </c>
    </row>
    <row r="120" spans="1:8" ht="22.5" customHeight="1">
      <c r="A120" s="23"/>
      <c r="B120" s="34"/>
      <c r="C120" s="21"/>
      <c r="D120" s="24"/>
      <c r="E120" s="24"/>
      <c r="F120" s="25"/>
      <c r="G120" s="57">
        <f t="shared" si="6"/>
        <v>0</v>
      </c>
      <c r="H120" s="58">
        <f t="shared" si="7"/>
        <v>9608.7800000000007</v>
      </c>
    </row>
    <row r="121" spans="1:8" ht="22.5" customHeight="1">
      <c r="A121" s="23"/>
      <c r="B121" s="34"/>
      <c r="C121" s="21"/>
      <c r="D121" s="24"/>
      <c r="E121" s="24"/>
      <c r="F121" s="25"/>
      <c r="G121" s="57">
        <f t="shared" si="6"/>
        <v>0</v>
      </c>
      <c r="H121" s="58">
        <f t="shared" si="7"/>
        <v>9608.7800000000007</v>
      </c>
    </row>
    <row r="122" spans="1:8" ht="22.5" customHeight="1">
      <c r="A122" s="23"/>
      <c r="B122" s="34"/>
      <c r="C122" s="21"/>
      <c r="D122" s="24"/>
      <c r="E122" s="24"/>
      <c r="F122" s="25"/>
      <c r="G122" s="57">
        <f t="shared" si="6"/>
        <v>0</v>
      </c>
      <c r="H122" s="58">
        <f t="shared" si="7"/>
        <v>9608.7800000000007</v>
      </c>
    </row>
    <row r="123" spans="1:8" ht="22.5" customHeight="1">
      <c r="A123" s="23"/>
      <c r="B123" s="34"/>
      <c r="C123" s="21"/>
      <c r="D123" s="24"/>
      <c r="E123" s="24"/>
      <c r="F123" s="25"/>
      <c r="G123" s="57">
        <f t="shared" si="6"/>
        <v>0</v>
      </c>
      <c r="H123" s="58">
        <f t="shared" si="7"/>
        <v>9608.7800000000007</v>
      </c>
    </row>
    <row r="124" spans="1:8" ht="22.5" customHeight="1">
      <c r="A124" s="23"/>
      <c r="B124" s="34"/>
      <c r="C124" s="21"/>
      <c r="D124" s="24"/>
      <c r="E124" s="24"/>
      <c r="F124" s="25"/>
      <c r="G124" s="57">
        <f t="shared" si="6"/>
        <v>0</v>
      </c>
      <c r="H124" s="58">
        <f t="shared" si="7"/>
        <v>9608.7800000000007</v>
      </c>
    </row>
    <row r="125" spans="1:8" ht="22.5" customHeight="1">
      <c r="A125" s="23"/>
      <c r="B125" s="34"/>
      <c r="C125" s="21"/>
      <c r="D125" s="24"/>
      <c r="E125" s="24"/>
      <c r="F125" s="25"/>
      <c r="G125" s="57">
        <f t="shared" si="6"/>
        <v>0</v>
      </c>
      <c r="H125" s="58">
        <f t="shared" si="7"/>
        <v>9608.7800000000007</v>
      </c>
    </row>
    <row r="126" spans="1:8" ht="22.5" customHeight="1">
      <c r="A126" s="23"/>
      <c r="B126" s="34"/>
      <c r="C126" s="21"/>
      <c r="D126" s="24"/>
      <c r="E126" s="24"/>
      <c r="F126" s="25"/>
      <c r="G126" s="57">
        <f t="shared" si="6"/>
        <v>0</v>
      </c>
      <c r="H126" s="58">
        <f t="shared" si="7"/>
        <v>9608.7800000000007</v>
      </c>
    </row>
    <row r="127" spans="1:8" ht="22.5" customHeight="1">
      <c r="A127" s="23"/>
      <c r="B127" s="34"/>
      <c r="C127" s="21"/>
      <c r="D127" s="24"/>
      <c r="E127" s="24"/>
      <c r="F127" s="25"/>
      <c r="G127" s="57">
        <f t="shared" si="6"/>
        <v>0</v>
      </c>
      <c r="H127" s="58">
        <f t="shared" si="7"/>
        <v>9608.7800000000007</v>
      </c>
    </row>
    <row r="128" spans="1:8" ht="22.5" customHeight="1">
      <c r="A128" s="23"/>
      <c r="B128" s="34"/>
      <c r="C128" s="21"/>
      <c r="D128" s="24"/>
      <c r="E128" s="24"/>
      <c r="F128" s="25"/>
      <c r="G128" s="57">
        <f t="shared" si="6"/>
        <v>0</v>
      </c>
      <c r="H128" s="58">
        <f t="shared" si="7"/>
        <v>9608.7800000000007</v>
      </c>
    </row>
    <row r="129" spans="1:8" ht="22.5" customHeight="1">
      <c r="A129" s="23"/>
      <c r="B129" s="34"/>
      <c r="C129" s="21"/>
      <c r="D129" s="24"/>
      <c r="E129" s="24"/>
      <c r="F129" s="25"/>
      <c r="G129" s="57">
        <f t="shared" si="6"/>
        <v>0</v>
      </c>
      <c r="H129" s="58">
        <f t="shared" si="7"/>
        <v>9608.7800000000007</v>
      </c>
    </row>
    <row r="130" spans="1:8" ht="22.5" customHeight="1">
      <c r="A130" s="23"/>
      <c r="B130" s="34"/>
      <c r="C130" s="21"/>
      <c r="D130" s="24"/>
      <c r="E130" s="24"/>
      <c r="F130" s="25"/>
      <c r="G130" s="57">
        <f t="shared" si="6"/>
        <v>0</v>
      </c>
      <c r="H130" s="58">
        <f t="shared" si="7"/>
        <v>9608.7800000000007</v>
      </c>
    </row>
    <row r="131" spans="1:8" ht="22.5" customHeight="1">
      <c r="A131" s="23"/>
      <c r="B131" s="34"/>
      <c r="C131" s="21"/>
      <c r="D131" s="24"/>
      <c r="E131" s="24"/>
      <c r="F131" s="25"/>
      <c r="G131" s="57">
        <f t="shared" si="6"/>
        <v>0</v>
      </c>
      <c r="H131" s="58">
        <f t="shared" si="7"/>
        <v>9608.7800000000007</v>
      </c>
    </row>
    <row r="132" spans="1:8" ht="22.5" customHeight="1">
      <c r="A132" s="23"/>
      <c r="B132" s="34"/>
      <c r="C132" s="21"/>
      <c r="D132" s="24"/>
      <c r="E132" s="24"/>
      <c r="F132" s="25"/>
      <c r="G132" s="57">
        <f t="shared" si="6"/>
        <v>0</v>
      </c>
      <c r="H132" s="58">
        <f t="shared" si="7"/>
        <v>9608.7800000000007</v>
      </c>
    </row>
    <row r="133" spans="1:8" ht="22.5" customHeight="1">
      <c r="A133" s="23"/>
      <c r="B133" s="34"/>
      <c r="C133" s="21"/>
      <c r="D133" s="24"/>
      <c r="E133" s="24"/>
      <c r="F133" s="25"/>
      <c r="G133" s="57">
        <f t="shared" si="6"/>
        <v>0</v>
      </c>
      <c r="H133" s="58">
        <f t="shared" si="7"/>
        <v>9608.7800000000007</v>
      </c>
    </row>
    <row r="134" spans="1:8" ht="22.5" customHeight="1">
      <c r="A134" s="23"/>
      <c r="B134" s="34"/>
      <c r="C134" s="21"/>
      <c r="D134" s="24"/>
      <c r="E134" s="24"/>
      <c r="F134" s="25"/>
      <c r="G134" s="57">
        <f t="shared" si="6"/>
        <v>0</v>
      </c>
      <c r="H134" s="58">
        <f t="shared" si="7"/>
        <v>9608.7800000000007</v>
      </c>
    </row>
    <row r="135" spans="1:8" ht="22.5" customHeight="1">
      <c r="A135" s="23"/>
      <c r="B135" s="34"/>
      <c r="C135" s="21"/>
      <c r="D135" s="24"/>
      <c r="E135" s="24"/>
      <c r="F135" s="25"/>
      <c r="G135" s="57">
        <f t="shared" ref="G135:G166" si="8">IF(A135="Despesas",E135*-1,IF(A135="Receitas",E135,0))</f>
        <v>0</v>
      </c>
      <c r="H135" s="58">
        <f t="shared" ref="H135:H166" si="9">H134+G135</f>
        <v>9608.7800000000007</v>
      </c>
    </row>
    <row r="136" spans="1:8" ht="22.5" customHeight="1">
      <c r="A136" s="23"/>
      <c r="B136" s="34"/>
      <c r="C136" s="21"/>
      <c r="D136" s="24"/>
      <c r="E136" s="24"/>
      <c r="F136" s="25"/>
      <c r="G136" s="57">
        <f t="shared" si="8"/>
        <v>0</v>
      </c>
      <c r="H136" s="58">
        <f t="shared" si="9"/>
        <v>9608.7800000000007</v>
      </c>
    </row>
    <row r="137" spans="1:8" ht="22.5" customHeight="1">
      <c r="A137" s="23"/>
      <c r="B137" s="34"/>
      <c r="C137" s="21"/>
      <c r="D137" s="24"/>
      <c r="E137" s="24"/>
      <c r="F137" s="25"/>
      <c r="G137" s="57">
        <f t="shared" si="8"/>
        <v>0</v>
      </c>
      <c r="H137" s="58">
        <f t="shared" si="9"/>
        <v>9608.7800000000007</v>
      </c>
    </row>
    <row r="138" spans="1:8" ht="22.5" customHeight="1">
      <c r="A138" s="23"/>
      <c r="B138" s="34"/>
      <c r="C138" s="21"/>
      <c r="D138" s="24"/>
      <c r="E138" s="24"/>
      <c r="F138" s="25"/>
      <c r="G138" s="57">
        <f t="shared" si="8"/>
        <v>0</v>
      </c>
      <c r="H138" s="58">
        <f t="shared" si="9"/>
        <v>9608.7800000000007</v>
      </c>
    </row>
    <row r="139" spans="1:8" ht="22.5" customHeight="1">
      <c r="A139" s="23"/>
      <c r="B139" s="34"/>
      <c r="C139" s="21"/>
      <c r="D139" s="24"/>
      <c r="E139" s="24"/>
      <c r="F139" s="25"/>
      <c r="G139" s="57">
        <f t="shared" si="8"/>
        <v>0</v>
      </c>
      <c r="H139" s="58">
        <f t="shared" si="9"/>
        <v>9608.7800000000007</v>
      </c>
    </row>
    <row r="140" spans="1:8" ht="22.5" customHeight="1">
      <c r="A140" s="23"/>
      <c r="B140" s="34"/>
      <c r="C140" s="21"/>
      <c r="D140" s="24"/>
      <c r="E140" s="24"/>
      <c r="F140" s="25"/>
      <c r="G140" s="57">
        <f t="shared" si="8"/>
        <v>0</v>
      </c>
      <c r="H140" s="58">
        <f t="shared" si="9"/>
        <v>9608.7800000000007</v>
      </c>
    </row>
    <row r="141" spans="1:8" ht="22.5" customHeight="1">
      <c r="A141" s="23"/>
      <c r="B141" s="34"/>
      <c r="C141" s="21"/>
      <c r="D141" s="24"/>
      <c r="E141" s="24"/>
      <c r="F141" s="25"/>
      <c r="G141" s="57">
        <f t="shared" si="8"/>
        <v>0</v>
      </c>
      <c r="H141" s="58">
        <f t="shared" si="9"/>
        <v>9608.7800000000007</v>
      </c>
    </row>
    <row r="142" spans="1:8" ht="22.5" customHeight="1">
      <c r="A142" s="23"/>
      <c r="B142" s="34"/>
      <c r="C142" s="21"/>
      <c r="D142" s="24"/>
      <c r="E142" s="24"/>
      <c r="F142" s="25"/>
      <c r="G142" s="57">
        <f t="shared" si="8"/>
        <v>0</v>
      </c>
      <c r="H142" s="58">
        <f t="shared" si="9"/>
        <v>9608.7800000000007</v>
      </c>
    </row>
    <row r="143" spans="1:8" ht="22.5" customHeight="1">
      <c r="A143" s="23"/>
      <c r="B143" s="34"/>
      <c r="C143" s="21"/>
      <c r="D143" s="24"/>
      <c r="E143" s="24"/>
      <c r="F143" s="25"/>
      <c r="G143" s="57">
        <f t="shared" si="8"/>
        <v>0</v>
      </c>
      <c r="H143" s="58">
        <f t="shared" ref="H143:H206" si="10">H142+G143</f>
        <v>9608.7800000000007</v>
      </c>
    </row>
    <row r="144" spans="1:8" ht="22.5" customHeight="1">
      <c r="A144" s="23"/>
      <c r="B144" s="34"/>
      <c r="C144" s="21"/>
      <c r="D144" s="24"/>
      <c r="E144" s="24"/>
      <c r="F144" s="25"/>
      <c r="G144" s="57">
        <f t="shared" si="8"/>
        <v>0</v>
      </c>
      <c r="H144" s="58">
        <f t="shared" si="10"/>
        <v>9608.7800000000007</v>
      </c>
    </row>
    <row r="145" spans="1:8" ht="22.5" customHeight="1">
      <c r="A145" s="23"/>
      <c r="B145" s="34"/>
      <c r="C145" s="21"/>
      <c r="D145" s="24"/>
      <c r="E145" s="24"/>
      <c r="F145" s="25"/>
      <c r="G145" s="57">
        <f t="shared" si="8"/>
        <v>0</v>
      </c>
      <c r="H145" s="58">
        <f t="shared" si="10"/>
        <v>9608.7800000000007</v>
      </c>
    </row>
    <row r="146" spans="1:8" ht="22.5" customHeight="1">
      <c r="A146" s="23"/>
      <c r="B146" s="34"/>
      <c r="C146" s="21"/>
      <c r="D146" s="24"/>
      <c r="E146" s="24"/>
      <c r="F146" s="25"/>
      <c r="G146" s="57">
        <f t="shared" si="8"/>
        <v>0</v>
      </c>
      <c r="H146" s="58">
        <f t="shared" si="10"/>
        <v>9608.7800000000007</v>
      </c>
    </row>
    <row r="147" spans="1:8" ht="22.5" customHeight="1">
      <c r="A147" s="23"/>
      <c r="B147" s="34"/>
      <c r="C147" s="21"/>
      <c r="D147" s="24"/>
      <c r="E147" s="24"/>
      <c r="F147" s="25"/>
      <c r="G147" s="57">
        <f t="shared" si="8"/>
        <v>0</v>
      </c>
      <c r="H147" s="58">
        <f t="shared" si="10"/>
        <v>9608.7800000000007</v>
      </c>
    </row>
    <row r="148" spans="1:8" ht="22.5" customHeight="1">
      <c r="A148" s="23"/>
      <c r="B148" s="34"/>
      <c r="C148" s="21"/>
      <c r="D148" s="24"/>
      <c r="E148" s="24"/>
      <c r="F148" s="25"/>
      <c r="G148" s="57">
        <f t="shared" si="8"/>
        <v>0</v>
      </c>
      <c r="H148" s="58">
        <f t="shared" si="10"/>
        <v>9608.7800000000007</v>
      </c>
    </row>
    <row r="149" spans="1:8" ht="22.5" customHeight="1">
      <c r="A149" s="23"/>
      <c r="B149" s="34"/>
      <c r="C149" s="21"/>
      <c r="D149" s="24"/>
      <c r="E149" s="24"/>
      <c r="F149" s="25"/>
      <c r="G149" s="57">
        <f t="shared" si="8"/>
        <v>0</v>
      </c>
      <c r="H149" s="58">
        <f t="shared" si="10"/>
        <v>9608.7800000000007</v>
      </c>
    </row>
    <row r="150" spans="1:8" ht="22.5" customHeight="1">
      <c r="A150" s="23"/>
      <c r="B150" s="34"/>
      <c r="C150" s="21"/>
      <c r="D150" s="24"/>
      <c r="E150" s="24"/>
      <c r="F150" s="25"/>
      <c r="G150" s="57">
        <f t="shared" si="8"/>
        <v>0</v>
      </c>
      <c r="H150" s="58">
        <f t="shared" si="10"/>
        <v>9608.7800000000007</v>
      </c>
    </row>
    <row r="151" spans="1:8" ht="22.5" customHeight="1">
      <c r="A151" s="23"/>
      <c r="B151" s="34"/>
      <c r="C151" s="21"/>
      <c r="D151" s="24"/>
      <c r="E151" s="24"/>
      <c r="F151" s="25"/>
      <c r="G151" s="57">
        <f t="shared" si="8"/>
        <v>0</v>
      </c>
      <c r="H151" s="58">
        <f t="shared" si="10"/>
        <v>9608.7800000000007</v>
      </c>
    </row>
    <row r="152" spans="1:8" ht="22.5" customHeight="1">
      <c r="A152" s="23"/>
      <c r="B152" s="34"/>
      <c r="C152" s="21"/>
      <c r="D152" s="24"/>
      <c r="E152" s="24"/>
      <c r="F152" s="25"/>
      <c r="G152" s="57">
        <f t="shared" si="8"/>
        <v>0</v>
      </c>
      <c r="H152" s="58">
        <f t="shared" si="10"/>
        <v>9608.7800000000007</v>
      </c>
    </row>
    <row r="153" spans="1:8" ht="22.5" customHeight="1">
      <c r="A153" s="23"/>
      <c r="B153" s="34"/>
      <c r="C153" s="21"/>
      <c r="D153" s="24"/>
      <c r="E153" s="24"/>
      <c r="F153" s="25"/>
      <c r="G153" s="57">
        <f t="shared" si="8"/>
        <v>0</v>
      </c>
      <c r="H153" s="58">
        <f t="shared" si="10"/>
        <v>9608.7800000000007</v>
      </c>
    </row>
    <row r="154" spans="1:8" ht="22.5" customHeight="1">
      <c r="A154" s="23"/>
      <c r="B154" s="34"/>
      <c r="C154" s="21"/>
      <c r="D154" s="24"/>
      <c r="E154" s="24"/>
      <c r="F154" s="25"/>
      <c r="G154" s="57">
        <f t="shared" si="8"/>
        <v>0</v>
      </c>
      <c r="H154" s="58">
        <f t="shared" si="10"/>
        <v>9608.7800000000007</v>
      </c>
    </row>
    <row r="155" spans="1:8" ht="22.5" customHeight="1">
      <c r="A155" s="23"/>
      <c r="B155" s="34"/>
      <c r="C155" s="21"/>
      <c r="D155" s="24"/>
      <c r="E155" s="24"/>
      <c r="F155" s="25"/>
      <c r="G155" s="57">
        <f t="shared" si="8"/>
        <v>0</v>
      </c>
      <c r="H155" s="58">
        <f t="shared" si="10"/>
        <v>9608.7800000000007</v>
      </c>
    </row>
    <row r="156" spans="1:8" ht="22.5" customHeight="1">
      <c r="A156" s="23"/>
      <c r="B156" s="34"/>
      <c r="C156" s="21"/>
      <c r="D156" s="24"/>
      <c r="E156" s="24"/>
      <c r="F156" s="25"/>
      <c r="G156" s="57">
        <f t="shared" si="8"/>
        <v>0</v>
      </c>
      <c r="H156" s="58">
        <f t="shared" si="10"/>
        <v>9608.7800000000007</v>
      </c>
    </row>
    <row r="157" spans="1:8" ht="22.5" customHeight="1">
      <c r="A157" s="23"/>
      <c r="B157" s="34"/>
      <c r="C157" s="21"/>
      <c r="D157" s="24"/>
      <c r="E157" s="24"/>
      <c r="F157" s="25"/>
      <c r="G157" s="57">
        <f t="shared" si="8"/>
        <v>0</v>
      </c>
      <c r="H157" s="58">
        <f t="shared" si="10"/>
        <v>9608.7800000000007</v>
      </c>
    </row>
    <row r="158" spans="1:8" ht="22.5" customHeight="1">
      <c r="A158" s="23"/>
      <c r="B158" s="34"/>
      <c r="C158" s="21"/>
      <c r="D158" s="24"/>
      <c r="E158" s="24"/>
      <c r="F158" s="25"/>
      <c r="G158" s="57">
        <f t="shared" si="8"/>
        <v>0</v>
      </c>
      <c r="H158" s="58">
        <f t="shared" si="10"/>
        <v>9608.7800000000007</v>
      </c>
    </row>
    <row r="159" spans="1:8" ht="22.5" customHeight="1">
      <c r="A159" s="23"/>
      <c r="B159" s="34"/>
      <c r="C159" s="21"/>
      <c r="D159" s="24"/>
      <c r="E159" s="24"/>
      <c r="F159" s="25"/>
      <c r="G159" s="57">
        <f t="shared" si="8"/>
        <v>0</v>
      </c>
      <c r="H159" s="58">
        <f t="shared" si="10"/>
        <v>9608.7800000000007</v>
      </c>
    </row>
    <row r="160" spans="1:8" ht="22.5" customHeight="1">
      <c r="A160" s="23"/>
      <c r="B160" s="34"/>
      <c r="C160" s="21"/>
      <c r="D160" s="24"/>
      <c r="E160" s="24"/>
      <c r="F160" s="25"/>
      <c r="G160" s="57">
        <f t="shared" si="8"/>
        <v>0</v>
      </c>
      <c r="H160" s="58">
        <f t="shared" si="10"/>
        <v>9608.7800000000007</v>
      </c>
    </row>
    <row r="161" spans="1:8" ht="22.5" customHeight="1">
      <c r="A161" s="23"/>
      <c r="B161" s="34"/>
      <c r="C161" s="21"/>
      <c r="D161" s="24"/>
      <c r="E161" s="24"/>
      <c r="F161" s="25"/>
      <c r="G161" s="57">
        <f t="shared" si="8"/>
        <v>0</v>
      </c>
      <c r="H161" s="58">
        <f t="shared" si="10"/>
        <v>9608.7800000000007</v>
      </c>
    </row>
    <row r="162" spans="1:8" ht="22.5" customHeight="1">
      <c r="A162" s="23"/>
      <c r="B162" s="34"/>
      <c r="C162" s="21"/>
      <c r="D162" s="24"/>
      <c r="E162" s="24"/>
      <c r="F162" s="25"/>
      <c r="G162" s="57">
        <f t="shared" si="8"/>
        <v>0</v>
      </c>
      <c r="H162" s="58">
        <f t="shared" si="10"/>
        <v>9608.7800000000007</v>
      </c>
    </row>
    <row r="163" spans="1:8" ht="22.5" customHeight="1">
      <c r="A163" s="23"/>
      <c r="B163" s="34"/>
      <c r="C163" s="21"/>
      <c r="D163" s="24"/>
      <c r="E163" s="24"/>
      <c r="F163" s="25"/>
      <c r="G163" s="57">
        <f t="shared" si="8"/>
        <v>0</v>
      </c>
      <c r="H163" s="58">
        <f t="shared" si="10"/>
        <v>9608.7800000000007</v>
      </c>
    </row>
    <row r="164" spans="1:8" ht="22.5" customHeight="1">
      <c r="A164" s="23"/>
      <c r="B164" s="34"/>
      <c r="C164" s="21"/>
      <c r="D164" s="24"/>
      <c r="E164" s="24"/>
      <c r="F164" s="25"/>
      <c r="G164" s="57">
        <f t="shared" si="8"/>
        <v>0</v>
      </c>
      <c r="H164" s="58">
        <f t="shared" si="10"/>
        <v>9608.7800000000007</v>
      </c>
    </row>
    <row r="165" spans="1:8" ht="22.5" customHeight="1">
      <c r="A165" s="23"/>
      <c r="B165" s="34"/>
      <c r="C165" s="21"/>
      <c r="D165" s="24"/>
      <c r="E165" s="24"/>
      <c r="F165" s="25"/>
      <c r="G165" s="57">
        <f t="shared" si="8"/>
        <v>0</v>
      </c>
      <c r="H165" s="58">
        <f t="shared" si="10"/>
        <v>9608.7800000000007</v>
      </c>
    </row>
    <row r="166" spans="1:8" ht="22.5" customHeight="1">
      <c r="A166" s="23"/>
      <c r="B166" s="34"/>
      <c r="C166" s="21"/>
      <c r="D166" s="24"/>
      <c r="E166" s="24"/>
      <c r="F166" s="25"/>
      <c r="G166" s="57">
        <f t="shared" si="8"/>
        <v>0</v>
      </c>
      <c r="H166" s="58">
        <f t="shared" si="10"/>
        <v>9608.7800000000007</v>
      </c>
    </row>
    <row r="167" spans="1:8" ht="22.5" customHeight="1">
      <c r="A167" s="23"/>
      <c r="B167" s="34"/>
      <c r="C167" s="21"/>
      <c r="D167" s="24"/>
      <c r="E167" s="24"/>
      <c r="F167" s="25"/>
      <c r="G167" s="57">
        <f t="shared" ref="G167:G198" si="11">IF(A167="Despesas",E167*-1,IF(A167="Receitas",E167,0))</f>
        <v>0</v>
      </c>
      <c r="H167" s="58">
        <f t="shared" si="10"/>
        <v>9608.7800000000007</v>
      </c>
    </row>
    <row r="168" spans="1:8" ht="22.5" customHeight="1">
      <c r="A168" s="23"/>
      <c r="B168" s="34"/>
      <c r="C168" s="21"/>
      <c r="D168" s="24"/>
      <c r="E168" s="24"/>
      <c r="F168" s="25"/>
      <c r="G168" s="57">
        <f t="shared" si="11"/>
        <v>0</v>
      </c>
      <c r="H168" s="58">
        <f t="shared" si="10"/>
        <v>9608.7800000000007</v>
      </c>
    </row>
    <row r="169" spans="1:8" ht="22.5" customHeight="1">
      <c r="A169" s="23"/>
      <c r="B169" s="34"/>
      <c r="C169" s="21"/>
      <c r="D169" s="24"/>
      <c r="E169" s="24"/>
      <c r="F169" s="25"/>
      <c r="G169" s="57">
        <f t="shared" si="11"/>
        <v>0</v>
      </c>
      <c r="H169" s="58">
        <f t="shared" si="10"/>
        <v>9608.7800000000007</v>
      </c>
    </row>
    <row r="170" spans="1:8" ht="22.5" customHeight="1">
      <c r="A170" s="23"/>
      <c r="B170" s="34"/>
      <c r="C170" s="21"/>
      <c r="D170" s="24"/>
      <c r="E170" s="24"/>
      <c r="F170" s="25"/>
      <c r="G170" s="57">
        <f t="shared" si="11"/>
        <v>0</v>
      </c>
      <c r="H170" s="58">
        <f t="shared" si="10"/>
        <v>9608.7800000000007</v>
      </c>
    </row>
    <row r="171" spans="1:8" ht="22.5" customHeight="1">
      <c r="A171" s="23"/>
      <c r="B171" s="34"/>
      <c r="C171" s="21"/>
      <c r="D171" s="24"/>
      <c r="E171" s="24"/>
      <c r="F171" s="25"/>
      <c r="G171" s="57">
        <f t="shared" si="11"/>
        <v>0</v>
      </c>
      <c r="H171" s="58">
        <f t="shared" si="10"/>
        <v>9608.7800000000007</v>
      </c>
    </row>
    <row r="172" spans="1:8" ht="22.5" customHeight="1">
      <c r="A172" s="23"/>
      <c r="B172" s="34"/>
      <c r="C172" s="21"/>
      <c r="D172" s="24"/>
      <c r="E172" s="24"/>
      <c r="F172" s="25"/>
      <c r="G172" s="57">
        <f t="shared" si="11"/>
        <v>0</v>
      </c>
      <c r="H172" s="58">
        <f t="shared" si="10"/>
        <v>9608.7800000000007</v>
      </c>
    </row>
    <row r="173" spans="1:8" ht="22.5" customHeight="1">
      <c r="A173" s="23"/>
      <c r="B173" s="34"/>
      <c r="C173" s="21"/>
      <c r="D173" s="24"/>
      <c r="E173" s="24"/>
      <c r="F173" s="25"/>
      <c r="G173" s="57">
        <f t="shared" si="11"/>
        <v>0</v>
      </c>
      <c r="H173" s="58">
        <f t="shared" si="10"/>
        <v>9608.7800000000007</v>
      </c>
    </row>
    <row r="174" spans="1:8" ht="22.5" customHeight="1">
      <c r="A174" s="23"/>
      <c r="B174" s="34"/>
      <c r="C174" s="21"/>
      <c r="D174" s="24"/>
      <c r="E174" s="24"/>
      <c r="F174" s="25"/>
      <c r="G174" s="57">
        <f t="shared" si="11"/>
        <v>0</v>
      </c>
      <c r="H174" s="58">
        <f t="shared" si="10"/>
        <v>9608.7800000000007</v>
      </c>
    </row>
    <row r="175" spans="1:8" ht="22.5" customHeight="1">
      <c r="A175" s="23"/>
      <c r="B175" s="34"/>
      <c r="C175" s="21"/>
      <c r="D175" s="24"/>
      <c r="E175" s="24"/>
      <c r="F175" s="25"/>
      <c r="G175" s="57">
        <f t="shared" si="11"/>
        <v>0</v>
      </c>
      <c r="H175" s="58">
        <f t="shared" si="10"/>
        <v>9608.7800000000007</v>
      </c>
    </row>
    <row r="176" spans="1:8" ht="22.5" customHeight="1">
      <c r="A176" s="23"/>
      <c r="B176" s="34"/>
      <c r="C176" s="21"/>
      <c r="D176" s="24"/>
      <c r="E176" s="24"/>
      <c r="F176" s="25"/>
      <c r="G176" s="57">
        <f t="shared" si="11"/>
        <v>0</v>
      </c>
      <c r="H176" s="58">
        <f t="shared" si="10"/>
        <v>9608.7800000000007</v>
      </c>
    </row>
    <row r="177" spans="1:8" ht="22.5" customHeight="1">
      <c r="A177" s="23"/>
      <c r="B177" s="34"/>
      <c r="C177" s="21"/>
      <c r="D177" s="24"/>
      <c r="E177" s="24"/>
      <c r="F177" s="25"/>
      <c r="G177" s="57">
        <f t="shared" si="11"/>
        <v>0</v>
      </c>
      <c r="H177" s="58">
        <f t="shared" si="10"/>
        <v>9608.7800000000007</v>
      </c>
    </row>
    <row r="178" spans="1:8" ht="22.5" customHeight="1">
      <c r="A178" s="23"/>
      <c r="B178" s="34"/>
      <c r="C178" s="21"/>
      <c r="D178" s="24"/>
      <c r="E178" s="24"/>
      <c r="F178" s="25"/>
      <c r="G178" s="57">
        <f t="shared" si="11"/>
        <v>0</v>
      </c>
      <c r="H178" s="58">
        <f t="shared" si="10"/>
        <v>9608.7800000000007</v>
      </c>
    </row>
    <row r="179" spans="1:8" ht="22.5" customHeight="1">
      <c r="A179" s="23"/>
      <c r="B179" s="34"/>
      <c r="C179" s="21"/>
      <c r="D179" s="24"/>
      <c r="E179" s="24"/>
      <c r="F179" s="25"/>
      <c r="G179" s="57">
        <f t="shared" si="11"/>
        <v>0</v>
      </c>
      <c r="H179" s="58">
        <f t="shared" si="10"/>
        <v>9608.7800000000007</v>
      </c>
    </row>
    <row r="180" spans="1:8" ht="22.5" customHeight="1">
      <c r="A180" s="23"/>
      <c r="B180" s="34"/>
      <c r="C180" s="21"/>
      <c r="D180" s="24"/>
      <c r="E180" s="24"/>
      <c r="F180" s="25"/>
      <c r="G180" s="57">
        <f t="shared" si="11"/>
        <v>0</v>
      </c>
      <c r="H180" s="58">
        <f t="shared" si="10"/>
        <v>9608.7800000000007</v>
      </c>
    </row>
    <row r="181" spans="1:8" ht="22.5" customHeight="1">
      <c r="A181" s="23"/>
      <c r="B181" s="34"/>
      <c r="C181" s="21"/>
      <c r="D181" s="24"/>
      <c r="E181" s="24"/>
      <c r="F181" s="25"/>
      <c r="G181" s="57">
        <f t="shared" si="11"/>
        <v>0</v>
      </c>
      <c r="H181" s="58">
        <f t="shared" si="10"/>
        <v>9608.7800000000007</v>
      </c>
    </row>
    <row r="182" spans="1:8" ht="22.5" customHeight="1">
      <c r="A182" s="23"/>
      <c r="B182" s="34"/>
      <c r="C182" s="21"/>
      <c r="D182" s="24"/>
      <c r="E182" s="24"/>
      <c r="F182" s="25"/>
      <c r="G182" s="57">
        <f t="shared" si="11"/>
        <v>0</v>
      </c>
      <c r="H182" s="58">
        <f t="shared" si="10"/>
        <v>9608.7800000000007</v>
      </c>
    </row>
    <row r="183" spans="1:8" ht="22.5" customHeight="1">
      <c r="A183" s="23"/>
      <c r="B183" s="34"/>
      <c r="C183" s="21"/>
      <c r="D183" s="24"/>
      <c r="E183" s="24"/>
      <c r="F183" s="25"/>
      <c r="G183" s="57">
        <f t="shared" si="11"/>
        <v>0</v>
      </c>
      <c r="H183" s="58">
        <f t="shared" si="10"/>
        <v>9608.7800000000007</v>
      </c>
    </row>
    <row r="184" spans="1:8" ht="22.5" customHeight="1">
      <c r="A184" s="23"/>
      <c r="B184" s="34"/>
      <c r="C184" s="21"/>
      <c r="D184" s="24"/>
      <c r="E184" s="24"/>
      <c r="F184" s="25"/>
      <c r="G184" s="57">
        <f t="shared" si="11"/>
        <v>0</v>
      </c>
      <c r="H184" s="58">
        <f t="shared" si="10"/>
        <v>9608.7800000000007</v>
      </c>
    </row>
    <row r="185" spans="1:8" ht="22.5" customHeight="1">
      <c r="A185" s="23"/>
      <c r="B185" s="34"/>
      <c r="C185" s="21"/>
      <c r="D185" s="24"/>
      <c r="E185" s="24"/>
      <c r="F185" s="25"/>
      <c r="G185" s="57">
        <f t="shared" si="11"/>
        <v>0</v>
      </c>
      <c r="H185" s="58">
        <f t="shared" si="10"/>
        <v>9608.7800000000007</v>
      </c>
    </row>
    <row r="186" spans="1:8" ht="22.5" customHeight="1">
      <c r="A186" s="23"/>
      <c r="B186" s="34"/>
      <c r="C186" s="21"/>
      <c r="D186" s="24"/>
      <c r="E186" s="24"/>
      <c r="F186" s="25"/>
      <c r="G186" s="57">
        <f t="shared" si="11"/>
        <v>0</v>
      </c>
      <c r="H186" s="58">
        <f t="shared" si="10"/>
        <v>9608.7800000000007</v>
      </c>
    </row>
    <row r="187" spans="1:8" ht="22.5" customHeight="1">
      <c r="A187" s="23"/>
      <c r="B187" s="34"/>
      <c r="C187" s="21"/>
      <c r="D187" s="24"/>
      <c r="E187" s="24"/>
      <c r="F187" s="25"/>
      <c r="G187" s="57">
        <f t="shared" si="11"/>
        <v>0</v>
      </c>
      <c r="H187" s="58">
        <f t="shared" si="10"/>
        <v>9608.7800000000007</v>
      </c>
    </row>
    <row r="188" spans="1:8" ht="22.5" customHeight="1">
      <c r="A188" s="23"/>
      <c r="B188" s="34"/>
      <c r="C188" s="21"/>
      <c r="D188" s="24"/>
      <c r="E188" s="24"/>
      <c r="F188" s="25"/>
      <c r="G188" s="57">
        <f t="shared" si="11"/>
        <v>0</v>
      </c>
      <c r="H188" s="58">
        <f t="shared" si="10"/>
        <v>9608.7800000000007</v>
      </c>
    </row>
    <row r="189" spans="1:8" ht="22.5" customHeight="1">
      <c r="A189" s="23"/>
      <c r="B189" s="34"/>
      <c r="C189" s="21"/>
      <c r="D189" s="24"/>
      <c r="E189" s="24"/>
      <c r="F189" s="25"/>
      <c r="G189" s="57">
        <f t="shared" si="11"/>
        <v>0</v>
      </c>
      <c r="H189" s="58">
        <f t="shared" si="10"/>
        <v>9608.7800000000007</v>
      </c>
    </row>
    <row r="190" spans="1:8" ht="22.5" customHeight="1">
      <c r="A190" s="23"/>
      <c r="B190" s="34"/>
      <c r="C190" s="21"/>
      <c r="D190" s="24"/>
      <c r="E190" s="24"/>
      <c r="F190" s="25"/>
      <c r="G190" s="57">
        <f t="shared" si="11"/>
        <v>0</v>
      </c>
      <c r="H190" s="58">
        <f t="shared" si="10"/>
        <v>9608.7800000000007</v>
      </c>
    </row>
    <row r="191" spans="1:8" ht="22.5" customHeight="1">
      <c r="A191" s="23"/>
      <c r="B191" s="34"/>
      <c r="C191" s="21"/>
      <c r="D191" s="24"/>
      <c r="E191" s="24"/>
      <c r="F191" s="25"/>
      <c r="G191" s="57">
        <f t="shared" si="11"/>
        <v>0</v>
      </c>
      <c r="H191" s="58">
        <f t="shared" si="10"/>
        <v>9608.7800000000007</v>
      </c>
    </row>
    <row r="192" spans="1:8" ht="22.5" customHeight="1">
      <c r="A192" s="23"/>
      <c r="B192" s="34"/>
      <c r="C192" s="21"/>
      <c r="D192" s="24"/>
      <c r="E192" s="24"/>
      <c r="F192" s="25"/>
      <c r="G192" s="57">
        <f t="shared" si="11"/>
        <v>0</v>
      </c>
      <c r="H192" s="58">
        <f t="shared" si="10"/>
        <v>9608.7800000000007</v>
      </c>
    </row>
    <row r="193" spans="1:8" ht="22.5" customHeight="1">
      <c r="A193" s="23"/>
      <c r="B193" s="34"/>
      <c r="C193" s="21"/>
      <c r="D193" s="24"/>
      <c r="E193" s="24"/>
      <c r="F193" s="25"/>
      <c r="G193" s="57">
        <f t="shared" si="11"/>
        <v>0</v>
      </c>
      <c r="H193" s="58">
        <f t="shared" si="10"/>
        <v>9608.7800000000007</v>
      </c>
    </row>
    <row r="194" spans="1:8" ht="22.5" customHeight="1">
      <c r="A194" s="23"/>
      <c r="B194" s="34"/>
      <c r="C194" s="21"/>
      <c r="D194" s="24"/>
      <c r="E194" s="24"/>
      <c r="F194" s="25"/>
      <c r="G194" s="57">
        <f t="shared" si="11"/>
        <v>0</v>
      </c>
      <c r="H194" s="58">
        <f t="shared" si="10"/>
        <v>9608.7800000000007</v>
      </c>
    </row>
    <row r="195" spans="1:8" ht="22.5" customHeight="1">
      <c r="A195" s="23"/>
      <c r="B195" s="34"/>
      <c r="C195" s="21"/>
      <c r="D195" s="24"/>
      <c r="E195" s="24"/>
      <c r="F195" s="25"/>
      <c r="G195" s="57">
        <f t="shared" si="11"/>
        <v>0</v>
      </c>
      <c r="H195" s="58">
        <f t="shared" si="10"/>
        <v>9608.7800000000007</v>
      </c>
    </row>
    <row r="196" spans="1:8" ht="22.5" customHeight="1">
      <c r="A196" s="23"/>
      <c r="B196" s="34"/>
      <c r="C196" s="21"/>
      <c r="D196" s="24"/>
      <c r="E196" s="24"/>
      <c r="F196" s="25"/>
      <c r="G196" s="57">
        <f t="shared" si="11"/>
        <v>0</v>
      </c>
      <c r="H196" s="58">
        <f t="shared" si="10"/>
        <v>9608.7800000000007</v>
      </c>
    </row>
    <row r="197" spans="1:8" ht="22.5" customHeight="1">
      <c r="A197" s="23"/>
      <c r="B197" s="34"/>
      <c r="C197" s="21"/>
      <c r="D197" s="24"/>
      <c r="E197" s="24"/>
      <c r="F197" s="25"/>
      <c r="G197" s="57">
        <f t="shared" si="11"/>
        <v>0</v>
      </c>
      <c r="H197" s="58">
        <f t="shared" si="10"/>
        <v>9608.7800000000007</v>
      </c>
    </row>
    <row r="198" spans="1:8" ht="22.5" customHeight="1">
      <c r="A198" s="23"/>
      <c r="B198" s="34"/>
      <c r="C198" s="21"/>
      <c r="D198" s="24"/>
      <c r="E198" s="24"/>
      <c r="F198" s="25"/>
      <c r="G198" s="57">
        <f t="shared" si="11"/>
        <v>0</v>
      </c>
      <c r="H198" s="58">
        <f t="shared" si="10"/>
        <v>9608.7800000000007</v>
      </c>
    </row>
    <row r="199" spans="1:8" ht="22.5" customHeight="1">
      <c r="A199" s="23"/>
      <c r="B199" s="34"/>
      <c r="C199" s="21"/>
      <c r="D199" s="24"/>
      <c r="E199" s="24"/>
      <c r="F199" s="25"/>
      <c r="G199" s="57">
        <f t="shared" ref="G199:G206" si="12">IF(A199="Despesas",E199*-1,IF(A199="Receitas",E199,0))</f>
        <v>0</v>
      </c>
      <c r="H199" s="58">
        <f t="shared" si="10"/>
        <v>9608.7800000000007</v>
      </c>
    </row>
    <row r="200" spans="1:8" ht="22.5" customHeight="1">
      <c r="A200" s="23"/>
      <c r="B200" s="34"/>
      <c r="C200" s="21"/>
      <c r="D200" s="24"/>
      <c r="E200" s="24"/>
      <c r="F200" s="25"/>
      <c r="G200" s="57">
        <f t="shared" si="12"/>
        <v>0</v>
      </c>
      <c r="H200" s="58">
        <f t="shared" si="10"/>
        <v>9608.7800000000007</v>
      </c>
    </row>
    <row r="201" spans="1:8" ht="22.5" customHeight="1">
      <c r="A201" s="23"/>
      <c r="B201" s="34"/>
      <c r="C201" s="21"/>
      <c r="D201" s="24"/>
      <c r="E201" s="24"/>
      <c r="F201" s="25"/>
      <c r="G201" s="57">
        <f t="shared" si="12"/>
        <v>0</v>
      </c>
      <c r="H201" s="58">
        <f t="shared" si="10"/>
        <v>9608.7800000000007</v>
      </c>
    </row>
    <row r="202" spans="1:8" ht="22.5" customHeight="1">
      <c r="A202" s="23"/>
      <c r="B202" s="34"/>
      <c r="C202" s="21"/>
      <c r="D202" s="24"/>
      <c r="E202" s="24"/>
      <c r="F202" s="25"/>
      <c r="G202" s="57">
        <f t="shared" si="12"/>
        <v>0</v>
      </c>
      <c r="H202" s="58">
        <f t="shared" si="10"/>
        <v>9608.7800000000007</v>
      </c>
    </row>
    <row r="203" spans="1:8" ht="22.5" customHeight="1">
      <c r="A203" s="23"/>
      <c r="B203" s="34"/>
      <c r="C203" s="21"/>
      <c r="D203" s="24"/>
      <c r="E203" s="24"/>
      <c r="F203" s="25"/>
      <c r="G203" s="57">
        <f t="shared" si="12"/>
        <v>0</v>
      </c>
      <c r="H203" s="58">
        <f t="shared" si="10"/>
        <v>9608.7800000000007</v>
      </c>
    </row>
    <row r="204" spans="1:8" ht="22.5" customHeight="1">
      <c r="A204" s="23"/>
      <c r="B204" s="34"/>
      <c r="C204" s="21"/>
      <c r="D204" s="24"/>
      <c r="E204" s="24"/>
      <c r="F204" s="25"/>
      <c r="G204" s="57">
        <f t="shared" si="12"/>
        <v>0</v>
      </c>
      <c r="H204" s="58">
        <f t="shared" si="10"/>
        <v>9608.7800000000007</v>
      </c>
    </row>
    <row r="205" spans="1:8" ht="22.5" customHeight="1">
      <c r="A205" s="23"/>
      <c r="B205" s="34"/>
      <c r="C205" s="21"/>
      <c r="D205" s="24"/>
      <c r="E205" s="24"/>
      <c r="F205" s="25"/>
      <c r="G205" s="57">
        <f t="shared" si="12"/>
        <v>0</v>
      </c>
      <c r="H205" s="58">
        <f t="shared" si="10"/>
        <v>9608.7800000000007</v>
      </c>
    </row>
    <row r="206" spans="1:8" ht="22.5" customHeight="1">
      <c r="A206" s="23"/>
      <c r="B206" s="34"/>
      <c r="C206" s="21"/>
      <c r="D206" s="24"/>
      <c r="E206" s="24"/>
      <c r="F206" s="25"/>
      <c r="G206" s="57">
        <f t="shared" si="12"/>
        <v>0</v>
      </c>
      <c r="H206" s="58">
        <f t="shared" si="10"/>
        <v>9608.7800000000007</v>
      </c>
    </row>
    <row r="207" spans="1:8" ht="22.5" customHeight="1">
      <c r="A207" s="54" t="s">
        <v>71</v>
      </c>
      <c r="B207" s="34" t="s">
        <v>72</v>
      </c>
      <c r="C207" s="54" t="s">
        <v>71</v>
      </c>
      <c r="D207" s="54" t="s">
        <v>71</v>
      </c>
      <c r="E207" s="54" t="s">
        <v>71</v>
      </c>
      <c r="F207" s="54" t="s">
        <v>71</v>
      </c>
      <c r="G207" s="59" t="s">
        <v>71</v>
      </c>
      <c r="H207" s="60" t="s">
        <v>72</v>
      </c>
    </row>
  </sheetData>
  <mergeCells count="4">
    <mergeCell ref="A1:A4"/>
    <mergeCell ref="C1:E3"/>
    <mergeCell ref="F1:F3"/>
    <mergeCell ref="H2:H3"/>
  </mergeCells>
  <conditionalFormatting sqref="H7:H207">
    <cfRule type="cellIs" dxfId="6" priority="1" operator="lessThan">
      <formula>0</formula>
    </cfRule>
  </conditionalFormatting>
  <dataValidations count="6">
    <dataValidation type="list" allowBlank="1" sqref="C7:C206" xr:uid="{C137ADAA-542B-48DA-BACC-8F013BC29842}">
      <formula1>Bancos</formula1>
    </dataValidation>
    <dataValidation type="list" allowBlank="1" sqref="B7:B206" xr:uid="{D9240143-4E58-485E-B65A-C6ED763E9623}">
      <formula1>INDIRECT(A7)</formula1>
    </dataValidation>
    <dataValidation type="list" allowBlank="1" sqref="B207" xr:uid="{4AF62B68-65ED-4AAA-B6DB-9F60A0D9BF0E}">
      <formula1>INDIRECT($A$7)</formula1>
    </dataValidation>
    <dataValidation type="list" allowBlank="1" sqref="C207:G207 A207 C6" xr:uid="{060713B1-505C-4C78-B545-E12FEFE43D31}">
      <formula1>#REF!</formula1>
    </dataValidation>
    <dataValidation type="list" allowBlank="1" sqref="A7:A206 A6:B6" xr:uid="{ACB176D6-DFFD-4CD0-A96F-DB05E6EAF05F}">
      <formula1>"Receitas,Despesas"</formula1>
    </dataValidation>
    <dataValidation type="custom" allowBlank="1" showDropDown="1" sqref="F6:F206" xr:uid="{69C2DD0B-FE00-4E5C-B805-7F2A984C73FE}">
      <formula1>OR(NOT(ISERROR(DATEVALUE(F6))), AND(ISNUMBER(F6), LEFT(CELL("format", F6))="D"))</formula1>
    </dataValidation>
  </dataValidation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E87B-F6C6-43DA-B23B-EF46EE1E0D62}">
  <sheetPr>
    <outlinePr summaryBelow="0" summaryRight="0"/>
  </sheetPr>
  <dimension ref="A1:J207"/>
  <sheetViews>
    <sheetView showGridLines="0" workbookViewId="0">
      <selection activeCell="F6" sqref="F6"/>
    </sheetView>
  </sheetViews>
  <sheetFormatPr defaultColWidth="12.5703125" defaultRowHeight="15.75" customHeight="1"/>
  <cols>
    <col min="1" max="1" width="9.28515625" style="27" bestFit="1" customWidth="1"/>
    <col min="2" max="2" width="30.85546875" style="27" bestFit="1" customWidth="1"/>
    <col min="3" max="3" width="20.85546875" style="27" bestFit="1" customWidth="1"/>
    <col min="4" max="4" width="13.85546875" style="27" bestFit="1" customWidth="1"/>
    <col min="5" max="5" width="11.7109375" bestFit="1" customWidth="1"/>
    <col min="6" max="6" width="16.28515625" style="27" customWidth="1"/>
    <col min="7" max="7" width="11.7109375" style="27" hidden="1" customWidth="1"/>
    <col min="8" max="8" width="22.5703125" style="33" bestFit="1" customWidth="1"/>
    <col min="9" max="10" width="12.5703125" style="27" hidden="1" customWidth="1"/>
  </cols>
  <sheetData>
    <row r="1" spans="1:8" ht="19.5" customHeight="1">
      <c r="A1" s="70"/>
      <c r="B1" s="13"/>
      <c r="C1" s="74" t="s">
        <v>59</v>
      </c>
      <c r="D1" s="66"/>
      <c r="E1" s="62"/>
      <c r="F1" s="73" t="s">
        <v>44</v>
      </c>
      <c r="G1" s="14"/>
      <c r="H1" s="35" t="s">
        <v>43</v>
      </c>
    </row>
    <row r="2" spans="1:8" ht="12.75" customHeight="1">
      <c r="A2" s="66"/>
      <c r="B2" s="15"/>
      <c r="C2" s="66"/>
      <c r="D2" s="66"/>
      <c r="E2" s="62"/>
      <c r="F2" s="73"/>
      <c r="G2" s="14"/>
      <c r="H2" s="72">
        <f>JUN!H206</f>
        <v>9608.7800000000007</v>
      </c>
    </row>
    <row r="3" spans="1:8" ht="23.25" customHeight="1">
      <c r="A3" s="66"/>
      <c r="B3" s="12"/>
      <c r="C3" s="66"/>
      <c r="D3" s="66"/>
      <c r="E3" s="62"/>
      <c r="F3" s="73"/>
      <c r="G3" s="14"/>
      <c r="H3" s="72"/>
    </row>
    <row r="4" spans="1:8" ht="12.75">
      <c r="A4" s="66"/>
      <c r="B4" s="13"/>
      <c r="C4" s="16"/>
      <c r="D4" s="16"/>
      <c r="E4" s="16"/>
      <c r="F4" s="14"/>
      <c r="G4" s="14"/>
      <c r="H4" s="31"/>
    </row>
    <row r="5" spans="1:8" ht="22.5" customHeight="1">
      <c r="A5" s="28" t="s">
        <v>45</v>
      </c>
      <c r="B5" s="29" t="s">
        <v>46</v>
      </c>
      <c r="C5" s="30" t="s">
        <v>47</v>
      </c>
      <c r="D5" s="29" t="s">
        <v>48</v>
      </c>
      <c r="E5" s="36" t="s">
        <v>49</v>
      </c>
      <c r="F5" s="29" t="s">
        <v>50</v>
      </c>
      <c r="G5" s="32" t="s">
        <v>67</v>
      </c>
      <c r="H5" s="36" t="s">
        <v>51</v>
      </c>
    </row>
    <row r="6" spans="1:8" ht="22.5" customHeight="1">
      <c r="A6" s="26"/>
      <c r="B6" s="26"/>
      <c r="C6" s="26"/>
      <c r="D6" s="26" t="s">
        <v>52</v>
      </c>
      <c r="E6" s="17">
        <f>H2</f>
        <v>9608.7800000000007</v>
      </c>
      <c r="F6" s="18">
        <v>46203</v>
      </c>
      <c r="G6" s="55">
        <f>E6</f>
        <v>9608.7800000000007</v>
      </c>
      <c r="H6" s="56">
        <f>E6</f>
        <v>9608.7800000000007</v>
      </c>
    </row>
    <row r="7" spans="1:8" ht="22.5" customHeight="1">
      <c r="A7" s="34"/>
      <c r="B7" s="34"/>
      <c r="C7" s="21"/>
      <c r="D7" s="22"/>
      <c r="E7" s="22"/>
      <c r="F7" s="19"/>
      <c r="G7" s="57">
        <f t="shared" ref="G7:G38" si="0">IF(A7="Despesas",E7*-1,IF(A7="Receitas",E7,0))</f>
        <v>0</v>
      </c>
      <c r="H7" s="58">
        <f t="shared" ref="H7:H38" si="1">H6+G7</f>
        <v>9608.7800000000007</v>
      </c>
    </row>
    <row r="8" spans="1:8" ht="22.5" customHeight="1">
      <c r="A8" s="34"/>
      <c r="B8" s="34"/>
      <c r="C8" s="21"/>
      <c r="D8" s="22"/>
      <c r="E8" s="22"/>
      <c r="F8" s="20"/>
      <c r="G8" s="57">
        <f t="shared" si="0"/>
        <v>0</v>
      </c>
      <c r="H8" s="58">
        <f t="shared" si="1"/>
        <v>9608.7800000000007</v>
      </c>
    </row>
    <row r="9" spans="1:8" ht="22.5" customHeight="1">
      <c r="A9" s="21"/>
      <c r="B9" s="34"/>
      <c r="C9" s="21"/>
      <c r="D9" s="22"/>
      <c r="E9" s="22"/>
      <c r="F9" s="19"/>
      <c r="G9" s="57">
        <f t="shared" si="0"/>
        <v>0</v>
      </c>
      <c r="H9" s="58">
        <f t="shared" si="1"/>
        <v>9608.7800000000007</v>
      </c>
    </row>
    <row r="10" spans="1:8" ht="22.5" customHeight="1">
      <c r="A10" s="21"/>
      <c r="B10" s="34"/>
      <c r="C10" s="21"/>
      <c r="D10" s="22"/>
      <c r="E10" s="22"/>
      <c r="F10" s="20"/>
      <c r="G10" s="57">
        <f t="shared" si="0"/>
        <v>0</v>
      </c>
      <c r="H10" s="58">
        <f t="shared" si="1"/>
        <v>9608.7800000000007</v>
      </c>
    </row>
    <row r="11" spans="1:8" ht="22.5" customHeight="1">
      <c r="A11" s="21"/>
      <c r="B11" s="34"/>
      <c r="C11" s="21"/>
      <c r="D11" s="22"/>
      <c r="E11" s="22"/>
      <c r="F11" s="19"/>
      <c r="G11" s="57">
        <f t="shared" si="0"/>
        <v>0</v>
      </c>
      <c r="H11" s="58">
        <f t="shared" si="1"/>
        <v>9608.7800000000007</v>
      </c>
    </row>
    <row r="12" spans="1:8" ht="22.5" customHeight="1">
      <c r="A12" s="21"/>
      <c r="B12" s="34"/>
      <c r="C12" s="21"/>
      <c r="D12" s="22"/>
      <c r="E12" s="22"/>
      <c r="F12" s="20"/>
      <c r="G12" s="57">
        <f t="shared" si="0"/>
        <v>0</v>
      </c>
      <c r="H12" s="58">
        <f t="shared" si="1"/>
        <v>9608.7800000000007</v>
      </c>
    </row>
    <row r="13" spans="1:8" ht="22.5" customHeight="1">
      <c r="A13" s="21"/>
      <c r="B13" s="34"/>
      <c r="C13" s="21"/>
      <c r="D13" s="22"/>
      <c r="E13" s="22"/>
      <c r="F13" s="19"/>
      <c r="G13" s="57">
        <f t="shared" si="0"/>
        <v>0</v>
      </c>
      <c r="H13" s="58">
        <f t="shared" si="1"/>
        <v>9608.7800000000007</v>
      </c>
    </row>
    <row r="14" spans="1:8" ht="22.5" customHeight="1">
      <c r="A14" s="21"/>
      <c r="B14" s="34"/>
      <c r="C14" s="21"/>
      <c r="D14" s="22"/>
      <c r="E14" s="22"/>
      <c r="F14" s="20"/>
      <c r="G14" s="57">
        <f t="shared" si="0"/>
        <v>0</v>
      </c>
      <c r="H14" s="58">
        <f t="shared" si="1"/>
        <v>9608.7800000000007</v>
      </c>
    </row>
    <row r="15" spans="1:8" ht="22.5" customHeight="1">
      <c r="A15" s="21"/>
      <c r="B15" s="34"/>
      <c r="C15" s="21"/>
      <c r="D15" s="22"/>
      <c r="E15" s="22"/>
      <c r="F15" s="19"/>
      <c r="G15" s="57">
        <f t="shared" si="0"/>
        <v>0</v>
      </c>
      <c r="H15" s="58">
        <f t="shared" si="1"/>
        <v>9608.7800000000007</v>
      </c>
    </row>
    <row r="16" spans="1:8" ht="22.5" customHeight="1">
      <c r="A16" s="21"/>
      <c r="B16" s="34"/>
      <c r="C16" s="21"/>
      <c r="D16" s="22"/>
      <c r="E16" s="22"/>
      <c r="F16" s="20"/>
      <c r="G16" s="57">
        <f t="shared" si="0"/>
        <v>0</v>
      </c>
      <c r="H16" s="58">
        <f t="shared" si="1"/>
        <v>9608.7800000000007</v>
      </c>
    </row>
    <row r="17" spans="1:8" ht="22.5" customHeight="1">
      <c r="A17" s="21"/>
      <c r="B17" s="34"/>
      <c r="C17" s="21"/>
      <c r="D17" s="22"/>
      <c r="E17" s="22"/>
      <c r="F17" s="19"/>
      <c r="G17" s="57">
        <f t="shared" si="0"/>
        <v>0</v>
      </c>
      <c r="H17" s="58">
        <f t="shared" si="1"/>
        <v>9608.7800000000007</v>
      </c>
    </row>
    <row r="18" spans="1:8" ht="22.5" customHeight="1">
      <c r="A18" s="21"/>
      <c r="B18" s="34"/>
      <c r="C18" s="21"/>
      <c r="D18" s="22"/>
      <c r="E18" s="22"/>
      <c r="F18" s="20"/>
      <c r="G18" s="57">
        <f t="shared" si="0"/>
        <v>0</v>
      </c>
      <c r="H18" s="58">
        <f t="shared" si="1"/>
        <v>9608.7800000000007</v>
      </c>
    </row>
    <row r="19" spans="1:8" ht="22.5" customHeight="1">
      <c r="A19" s="21"/>
      <c r="B19" s="34"/>
      <c r="C19" s="21"/>
      <c r="D19" s="22"/>
      <c r="E19" s="22"/>
      <c r="F19" s="19"/>
      <c r="G19" s="57">
        <f t="shared" si="0"/>
        <v>0</v>
      </c>
      <c r="H19" s="58">
        <f t="shared" si="1"/>
        <v>9608.7800000000007</v>
      </c>
    </row>
    <row r="20" spans="1:8" ht="22.5" customHeight="1">
      <c r="A20" s="21"/>
      <c r="B20" s="34"/>
      <c r="C20" s="21"/>
      <c r="D20" s="22"/>
      <c r="E20" s="22"/>
      <c r="F20" s="20"/>
      <c r="G20" s="57">
        <f t="shared" si="0"/>
        <v>0</v>
      </c>
      <c r="H20" s="58">
        <f t="shared" si="1"/>
        <v>9608.7800000000007</v>
      </c>
    </row>
    <row r="21" spans="1:8" ht="22.5" customHeight="1">
      <c r="A21" s="21"/>
      <c r="B21" s="34"/>
      <c r="C21" s="21"/>
      <c r="D21" s="22"/>
      <c r="E21" s="22"/>
      <c r="F21" s="19"/>
      <c r="G21" s="57">
        <f t="shared" si="0"/>
        <v>0</v>
      </c>
      <c r="H21" s="58">
        <f t="shared" si="1"/>
        <v>9608.7800000000007</v>
      </c>
    </row>
    <row r="22" spans="1:8" ht="22.5" customHeight="1">
      <c r="A22" s="21"/>
      <c r="B22" s="34"/>
      <c r="C22" s="21"/>
      <c r="D22" s="22"/>
      <c r="E22" s="22"/>
      <c r="F22" s="20"/>
      <c r="G22" s="57">
        <f t="shared" si="0"/>
        <v>0</v>
      </c>
      <c r="H22" s="58">
        <f t="shared" si="1"/>
        <v>9608.7800000000007</v>
      </c>
    </row>
    <row r="23" spans="1:8" ht="22.5" customHeight="1">
      <c r="A23" s="21"/>
      <c r="B23" s="34"/>
      <c r="C23" s="21"/>
      <c r="D23" s="22"/>
      <c r="E23" s="22"/>
      <c r="F23" s="19"/>
      <c r="G23" s="57">
        <f t="shared" si="0"/>
        <v>0</v>
      </c>
      <c r="H23" s="58">
        <f t="shared" si="1"/>
        <v>9608.7800000000007</v>
      </c>
    </row>
    <row r="24" spans="1:8" ht="22.5" customHeight="1">
      <c r="A24" s="21"/>
      <c r="B24" s="34"/>
      <c r="C24" s="21"/>
      <c r="D24" s="22"/>
      <c r="E24" s="22"/>
      <c r="F24" s="20"/>
      <c r="G24" s="57">
        <f t="shared" si="0"/>
        <v>0</v>
      </c>
      <c r="H24" s="58">
        <f t="shared" si="1"/>
        <v>9608.7800000000007</v>
      </c>
    </row>
    <row r="25" spans="1:8" ht="22.5" customHeight="1">
      <c r="A25" s="21"/>
      <c r="B25" s="34"/>
      <c r="C25" s="21"/>
      <c r="D25" s="22"/>
      <c r="E25" s="22"/>
      <c r="F25" s="19"/>
      <c r="G25" s="57">
        <f t="shared" si="0"/>
        <v>0</v>
      </c>
      <c r="H25" s="58">
        <f t="shared" si="1"/>
        <v>9608.7800000000007</v>
      </c>
    </row>
    <row r="26" spans="1:8" ht="22.5" customHeight="1">
      <c r="A26" s="21"/>
      <c r="B26" s="34"/>
      <c r="C26" s="21"/>
      <c r="D26" s="22"/>
      <c r="E26" s="22"/>
      <c r="F26" s="20"/>
      <c r="G26" s="57">
        <f t="shared" si="0"/>
        <v>0</v>
      </c>
      <c r="H26" s="58">
        <f t="shared" si="1"/>
        <v>9608.7800000000007</v>
      </c>
    </row>
    <row r="27" spans="1:8" ht="22.5" customHeight="1">
      <c r="A27" s="21"/>
      <c r="B27" s="34"/>
      <c r="C27" s="21"/>
      <c r="D27" s="22"/>
      <c r="E27" s="22"/>
      <c r="F27" s="19"/>
      <c r="G27" s="57">
        <f t="shared" si="0"/>
        <v>0</v>
      </c>
      <c r="H27" s="58">
        <f t="shared" si="1"/>
        <v>9608.7800000000007</v>
      </c>
    </row>
    <row r="28" spans="1:8" ht="22.5" customHeight="1">
      <c r="A28" s="21"/>
      <c r="B28" s="34"/>
      <c r="C28" s="21"/>
      <c r="D28" s="22"/>
      <c r="E28" s="22"/>
      <c r="F28" s="20"/>
      <c r="G28" s="57">
        <f t="shared" si="0"/>
        <v>0</v>
      </c>
      <c r="H28" s="58">
        <f t="shared" si="1"/>
        <v>9608.7800000000007</v>
      </c>
    </row>
    <row r="29" spans="1:8" ht="22.5" customHeight="1">
      <c r="A29" s="21"/>
      <c r="B29" s="34"/>
      <c r="C29" s="21"/>
      <c r="D29" s="22"/>
      <c r="E29" s="22"/>
      <c r="F29" s="19"/>
      <c r="G29" s="57">
        <f t="shared" si="0"/>
        <v>0</v>
      </c>
      <c r="H29" s="58">
        <f t="shared" si="1"/>
        <v>9608.7800000000007</v>
      </c>
    </row>
    <row r="30" spans="1:8" ht="22.5" customHeight="1">
      <c r="A30" s="21"/>
      <c r="B30" s="34"/>
      <c r="C30" s="21"/>
      <c r="D30" s="22"/>
      <c r="E30" s="22"/>
      <c r="F30" s="20"/>
      <c r="G30" s="57">
        <f t="shared" si="0"/>
        <v>0</v>
      </c>
      <c r="H30" s="58">
        <f t="shared" si="1"/>
        <v>9608.7800000000007</v>
      </c>
    </row>
    <row r="31" spans="1:8" ht="22.5" customHeight="1">
      <c r="A31" s="21"/>
      <c r="B31" s="34"/>
      <c r="C31" s="21"/>
      <c r="D31" s="22"/>
      <c r="E31" s="22"/>
      <c r="F31" s="19"/>
      <c r="G31" s="57">
        <f t="shared" si="0"/>
        <v>0</v>
      </c>
      <c r="H31" s="58">
        <f t="shared" si="1"/>
        <v>9608.7800000000007</v>
      </c>
    </row>
    <row r="32" spans="1:8" ht="22.5" customHeight="1">
      <c r="A32" s="21"/>
      <c r="B32" s="34"/>
      <c r="C32" s="21"/>
      <c r="D32" s="22"/>
      <c r="E32" s="22"/>
      <c r="F32" s="20"/>
      <c r="G32" s="57">
        <f t="shared" si="0"/>
        <v>0</v>
      </c>
      <c r="H32" s="58">
        <f t="shared" si="1"/>
        <v>9608.7800000000007</v>
      </c>
    </row>
    <row r="33" spans="1:8" ht="22.5" customHeight="1">
      <c r="A33" s="21"/>
      <c r="B33" s="34"/>
      <c r="C33" s="21"/>
      <c r="D33" s="22"/>
      <c r="E33" s="22"/>
      <c r="F33" s="19"/>
      <c r="G33" s="57">
        <f t="shared" si="0"/>
        <v>0</v>
      </c>
      <c r="H33" s="58">
        <f t="shared" si="1"/>
        <v>9608.7800000000007</v>
      </c>
    </row>
    <row r="34" spans="1:8" ht="22.5" customHeight="1">
      <c r="A34" s="23"/>
      <c r="B34" s="34"/>
      <c r="C34" s="21"/>
      <c r="D34" s="24"/>
      <c r="E34" s="24"/>
      <c r="F34" s="20"/>
      <c r="G34" s="57">
        <f t="shared" si="0"/>
        <v>0</v>
      </c>
      <c r="H34" s="58">
        <f t="shared" si="1"/>
        <v>9608.7800000000007</v>
      </c>
    </row>
    <row r="35" spans="1:8" ht="22.5" customHeight="1">
      <c r="A35" s="23"/>
      <c r="B35" s="34"/>
      <c r="C35" s="21"/>
      <c r="D35" s="24"/>
      <c r="E35" s="24"/>
      <c r="F35" s="19"/>
      <c r="G35" s="57">
        <f t="shared" si="0"/>
        <v>0</v>
      </c>
      <c r="H35" s="58">
        <f t="shared" si="1"/>
        <v>9608.7800000000007</v>
      </c>
    </row>
    <row r="36" spans="1:8" ht="22.5" customHeight="1">
      <c r="A36" s="23"/>
      <c r="B36" s="34"/>
      <c r="C36" s="21"/>
      <c r="D36" s="24"/>
      <c r="E36" s="24"/>
      <c r="F36" s="20"/>
      <c r="G36" s="57">
        <f t="shared" si="0"/>
        <v>0</v>
      </c>
      <c r="H36" s="58">
        <f t="shared" si="1"/>
        <v>9608.7800000000007</v>
      </c>
    </row>
    <row r="37" spans="1:8" ht="22.5" customHeight="1">
      <c r="A37" s="23"/>
      <c r="B37" s="34"/>
      <c r="C37" s="21"/>
      <c r="D37" s="24"/>
      <c r="E37" s="24"/>
      <c r="F37" s="19"/>
      <c r="G37" s="57">
        <f t="shared" si="0"/>
        <v>0</v>
      </c>
      <c r="H37" s="58">
        <f t="shared" si="1"/>
        <v>9608.7800000000007</v>
      </c>
    </row>
    <row r="38" spans="1:8" ht="22.5" customHeight="1">
      <c r="A38" s="23"/>
      <c r="B38" s="34"/>
      <c r="C38" s="21"/>
      <c r="D38" s="24"/>
      <c r="E38" s="24"/>
      <c r="F38" s="25"/>
      <c r="G38" s="57">
        <f t="shared" si="0"/>
        <v>0</v>
      </c>
      <c r="H38" s="58">
        <f t="shared" si="1"/>
        <v>9608.7800000000007</v>
      </c>
    </row>
    <row r="39" spans="1:8" ht="22.5" customHeight="1">
      <c r="A39" s="23"/>
      <c r="B39" s="34"/>
      <c r="C39" s="21"/>
      <c r="D39" s="24"/>
      <c r="E39" s="24"/>
      <c r="F39" s="25"/>
      <c r="G39" s="57">
        <f t="shared" ref="G39:G70" si="2">IF(A39="Despesas",E39*-1,IF(A39="Receitas",E39,0))</f>
        <v>0</v>
      </c>
      <c r="H39" s="58">
        <f t="shared" ref="H39:H70" si="3">H38+G39</f>
        <v>9608.7800000000007</v>
      </c>
    </row>
    <row r="40" spans="1:8" ht="22.5" customHeight="1">
      <c r="A40" s="23"/>
      <c r="B40" s="34"/>
      <c r="C40" s="21"/>
      <c r="D40" s="24"/>
      <c r="E40" s="24"/>
      <c r="F40" s="25"/>
      <c r="G40" s="57">
        <f t="shared" si="2"/>
        <v>0</v>
      </c>
      <c r="H40" s="58">
        <f t="shared" si="3"/>
        <v>9608.7800000000007</v>
      </c>
    </row>
    <row r="41" spans="1:8" ht="22.5" customHeight="1">
      <c r="A41" s="23"/>
      <c r="B41" s="34"/>
      <c r="C41" s="21"/>
      <c r="D41" s="24"/>
      <c r="E41" s="24"/>
      <c r="F41" s="25"/>
      <c r="G41" s="57">
        <f t="shared" si="2"/>
        <v>0</v>
      </c>
      <c r="H41" s="58">
        <f t="shared" si="3"/>
        <v>9608.7800000000007</v>
      </c>
    </row>
    <row r="42" spans="1:8" ht="22.5" customHeight="1">
      <c r="A42" s="23"/>
      <c r="B42" s="34"/>
      <c r="C42" s="21"/>
      <c r="D42" s="24"/>
      <c r="E42" s="24"/>
      <c r="F42" s="25"/>
      <c r="G42" s="57">
        <f t="shared" si="2"/>
        <v>0</v>
      </c>
      <c r="H42" s="58">
        <f t="shared" si="3"/>
        <v>9608.7800000000007</v>
      </c>
    </row>
    <row r="43" spans="1:8" ht="22.5" customHeight="1">
      <c r="A43" s="23"/>
      <c r="B43" s="34"/>
      <c r="C43" s="21"/>
      <c r="D43" s="24"/>
      <c r="E43" s="24"/>
      <c r="F43" s="25"/>
      <c r="G43" s="57">
        <f t="shared" si="2"/>
        <v>0</v>
      </c>
      <c r="H43" s="58">
        <f t="shared" si="3"/>
        <v>9608.7800000000007</v>
      </c>
    </row>
    <row r="44" spans="1:8" ht="22.5" customHeight="1">
      <c r="A44" s="23"/>
      <c r="B44" s="34"/>
      <c r="C44" s="21"/>
      <c r="D44" s="24"/>
      <c r="E44" s="24"/>
      <c r="F44" s="25"/>
      <c r="G44" s="57">
        <f t="shared" si="2"/>
        <v>0</v>
      </c>
      <c r="H44" s="58">
        <f t="shared" si="3"/>
        <v>9608.7800000000007</v>
      </c>
    </row>
    <row r="45" spans="1:8" ht="22.5" customHeight="1">
      <c r="A45" s="23"/>
      <c r="B45" s="34"/>
      <c r="C45" s="21"/>
      <c r="D45" s="24"/>
      <c r="E45" s="24"/>
      <c r="F45" s="25"/>
      <c r="G45" s="57">
        <f t="shared" si="2"/>
        <v>0</v>
      </c>
      <c r="H45" s="58">
        <f t="shared" si="3"/>
        <v>9608.7800000000007</v>
      </c>
    </row>
    <row r="46" spans="1:8" ht="22.5" customHeight="1">
      <c r="A46" s="23"/>
      <c r="B46" s="34"/>
      <c r="C46" s="21"/>
      <c r="D46" s="24"/>
      <c r="E46" s="24"/>
      <c r="F46" s="25"/>
      <c r="G46" s="57">
        <f t="shared" si="2"/>
        <v>0</v>
      </c>
      <c r="H46" s="58">
        <f t="shared" si="3"/>
        <v>9608.7800000000007</v>
      </c>
    </row>
    <row r="47" spans="1:8" ht="22.5" customHeight="1">
      <c r="A47" s="23"/>
      <c r="B47" s="34"/>
      <c r="C47" s="21"/>
      <c r="D47" s="24"/>
      <c r="E47" s="24"/>
      <c r="F47" s="25"/>
      <c r="G47" s="57">
        <f t="shared" si="2"/>
        <v>0</v>
      </c>
      <c r="H47" s="58">
        <f t="shared" si="3"/>
        <v>9608.7800000000007</v>
      </c>
    </row>
    <row r="48" spans="1:8" ht="22.5" customHeight="1">
      <c r="A48" s="23"/>
      <c r="B48" s="34"/>
      <c r="C48" s="21"/>
      <c r="D48" s="24"/>
      <c r="E48" s="24"/>
      <c r="F48" s="25"/>
      <c r="G48" s="57">
        <f t="shared" si="2"/>
        <v>0</v>
      </c>
      <c r="H48" s="58">
        <f t="shared" si="3"/>
        <v>9608.7800000000007</v>
      </c>
    </row>
    <row r="49" spans="1:8" ht="22.5" customHeight="1">
      <c r="A49" s="23"/>
      <c r="B49" s="34"/>
      <c r="C49" s="21"/>
      <c r="D49" s="24"/>
      <c r="E49" s="24"/>
      <c r="F49" s="25"/>
      <c r="G49" s="57">
        <f t="shared" si="2"/>
        <v>0</v>
      </c>
      <c r="H49" s="58">
        <f t="shared" si="3"/>
        <v>9608.7800000000007</v>
      </c>
    </row>
    <row r="50" spans="1:8" ht="22.5" customHeight="1">
      <c r="A50" s="23"/>
      <c r="B50" s="34"/>
      <c r="C50" s="21"/>
      <c r="D50" s="24"/>
      <c r="E50" s="24"/>
      <c r="F50" s="25"/>
      <c r="G50" s="57">
        <f t="shared" si="2"/>
        <v>0</v>
      </c>
      <c r="H50" s="58">
        <f t="shared" si="3"/>
        <v>9608.7800000000007</v>
      </c>
    </row>
    <row r="51" spans="1:8" ht="22.5" customHeight="1">
      <c r="A51" s="23"/>
      <c r="B51" s="34"/>
      <c r="C51" s="21"/>
      <c r="D51" s="24"/>
      <c r="E51" s="24"/>
      <c r="F51" s="25"/>
      <c r="G51" s="57">
        <f t="shared" si="2"/>
        <v>0</v>
      </c>
      <c r="H51" s="58">
        <f t="shared" si="3"/>
        <v>9608.7800000000007</v>
      </c>
    </row>
    <row r="52" spans="1:8" ht="22.5" customHeight="1">
      <c r="A52" s="23"/>
      <c r="B52" s="34"/>
      <c r="C52" s="21"/>
      <c r="D52" s="24"/>
      <c r="E52" s="24"/>
      <c r="F52" s="25"/>
      <c r="G52" s="57">
        <f t="shared" si="2"/>
        <v>0</v>
      </c>
      <c r="H52" s="58">
        <f t="shared" si="3"/>
        <v>9608.7800000000007</v>
      </c>
    </row>
    <row r="53" spans="1:8" ht="22.5" customHeight="1">
      <c r="A53" s="23"/>
      <c r="B53" s="34"/>
      <c r="C53" s="21"/>
      <c r="D53" s="24"/>
      <c r="E53" s="24"/>
      <c r="F53" s="25"/>
      <c r="G53" s="57">
        <f t="shared" si="2"/>
        <v>0</v>
      </c>
      <c r="H53" s="58">
        <f t="shared" si="3"/>
        <v>9608.7800000000007</v>
      </c>
    </row>
    <row r="54" spans="1:8" ht="22.5" customHeight="1">
      <c r="A54" s="23"/>
      <c r="B54" s="34"/>
      <c r="C54" s="21"/>
      <c r="D54" s="24"/>
      <c r="E54" s="24"/>
      <c r="F54" s="25"/>
      <c r="G54" s="57">
        <f t="shared" si="2"/>
        <v>0</v>
      </c>
      <c r="H54" s="58">
        <f t="shared" si="3"/>
        <v>9608.7800000000007</v>
      </c>
    </row>
    <row r="55" spans="1:8" ht="22.5" customHeight="1">
      <c r="A55" s="23"/>
      <c r="B55" s="34"/>
      <c r="C55" s="21"/>
      <c r="D55" s="24"/>
      <c r="E55" s="24"/>
      <c r="F55" s="25"/>
      <c r="G55" s="57">
        <f t="shared" si="2"/>
        <v>0</v>
      </c>
      <c r="H55" s="58">
        <f t="shared" si="3"/>
        <v>9608.7800000000007</v>
      </c>
    </row>
    <row r="56" spans="1:8" ht="22.5" customHeight="1">
      <c r="A56" s="23"/>
      <c r="B56" s="34"/>
      <c r="C56" s="21"/>
      <c r="D56" s="24"/>
      <c r="E56" s="24"/>
      <c r="F56" s="25"/>
      <c r="G56" s="57">
        <f t="shared" si="2"/>
        <v>0</v>
      </c>
      <c r="H56" s="58">
        <f t="shared" si="3"/>
        <v>9608.7800000000007</v>
      </c>
    </row>
    <row r="57" spans="1:8" ht="22.5" customHeight="1">
      <c r="A57" s="23"/>
      <c r="B57" s="34"/>
      <c r="C57" s="21"/>
      <c r="D57" s="24"/>
      <c r="E57" s="24"/>
      <c r="F57" s="25"/>
      <c r="G57" s="57">
        <f t="shared" si="2"/>
        <v>0</v>
      </c>
      <c r="H57" s="58">
        <f t="shared" si="3"/>
        <v>9608.7800000000007</v>
      </c>
    </row>
    <row r="58" spans="1:8" ht="22.5" customHeight="1">
      <c r="A58" s="23"/>
      <c r="B58" s="34"/>
      <c r="C58" s="21"/>
      <c r="D58" s="24"/>
      <c r="E58" s="24"/>
      <c r="F58" s="25"/>
      <c r="G58" s="57">
        <f t="shared" si="2"/>
        <v>0</v>
      </c>
      <c r="H58" s="58">
        <f t="shared" si="3"/>
        <v>9608.7800000000007</v>
      </c>
    </row>
    <row r="59" spans="1:8" ht="22.5" customHeight="1">
      <c r="A59" s="23"/>
      <c r="B59" s="34"/>
      <c r="C59" s="21"/>
      <c r="D59" s="24"/>
      <c r="E59" s="24"/>
      <c r="F59" s="25"/>
      <c r="G59" s="57">
        <f t="shared" si="2"/>
        <v>0</v>
      </c>
      <c r="H59" s="58">
        <f t="shared" si="3"/>
        <v>9608.7800000000007</v>
      </c>
    </row>
    <row r="60" spans="1:8" ht="22.5" customHeight="1">
      <c r="A60" s="23"/>
      <c r="B60" s="34"/>
      <c r="C60" s="21"/>
      <c r="D60" s="24"/>
      <c r="E60" s="24"/>
      <c r="F60" s="25"/>
      <c r="G60" s="57">
        <f t="shared" si="2"/>
        <v>0</v>
      </c>
      <c r="H60" s="58">
        <f t="shared" si="3"/>
        <v>9608.7800000000007</v>
      </c>
    </row>
    <row r="61" spans="1:8" ht="22.5" customHeight="1">
      <c r="A61" s="23"/>
      <c r="B61" s="34"/>
      <c r="C61" s="21"/>
      <c r="D61" s="24"/>
      <c r="E61" s="24"/>
      <c r="F61" s="25"/>
      <c r="G61" s="57">
        <f t="shared" si="2"/>
        <v>0</v>
      </c>
      <c r="H61" s="58">
        <f t="shared" si="3"/>
        <v>9608.7800000000007</v>
      </c>
    </row>
    <row r="62" spans="1:8" ht="22.5" customHeight="1">
      <c r="A62" s="23"/>
      <c r="B62" s="34"/>
      <c r="C62" s="21"/>
      <c r="D62" s="24"/>
      <c r="E62" s="24"/>
      <c r="F62" s="25"/>
      <c r="G62" s="57">
        <f t="shared" si="2"/>
        <v>0</v>
      </c>
      <c r="H62" s="58">
        <f t="shared" si="3"/>
        <v>9608.7800000000007</v>
      </c>
    </row>
    <row r="63" spans="1:8" ht="22.5" customHeight="1">
      <c r="A63" s="23"/>
      <c r="B63" s="34"/>
      <c r="C63" s="21"/>
      <c r="D63" s="24"/>
      <c r="E63" s="24"/>
      <c r="F63" s="25"/>
      <c r="G63" s="57">
        <f t="shared" si="2"/>
        <v>0</v>
      </c>
      <c r="H63" s="58">
        <f t="shared" si="3"/>
        <v>9608.7800000000007</v>
      </c>
    </row>
    <row r="64" spans="1:8" ht="22.5" customHeight="1">
      <c r="A64" s="23"/>
      <c r="B64" s="34"/>
      <c r="C64" s="21"/>
      <c r="D64" s="24"/>
      <c r="E64" s="24"/>
      <c r="F64" s="25"/>
      <c r="G64" s="57">
        <f t="shared" si="2"/>
        <v>0</v>
      </c>
      <c r="H64" s="58">
        <f t="shared" si="3"/>
        <v>9608.7800000000007</v>
      </c>
    </row>
    <row r="65" spans="1:8" ht="22.5" customHeight="1">
      <c r="A65" s="23"/>
      <c r="B65" s="34"/>
      <c r="C65" s="21"/>
      <c r="D65" s="24"/>
      <c r="E65" s="24"/>
      <c r="F65" s="25"/>
      <c r="G65" s="57">
        <f t="shared" si="2"/>
        <v>0</v>
      </c>
      <c r="H65" s="58">
        <f t="shared" si="3"/>
        <v>9608.7800000000007</v>
      </c>
    </row>
    <row r="66" spans="1:8" ht="22.5" customHeight="1">
      <c r="A66" s="23"/>
      <c r="B66" s="34"/>
      <c r="C66" s="21"/>
      <c r="D66" s="24"/>
      <c r="E66" s="24"/>
      <c r="F66" s="25"/>
      <c r="G66" s="57">
        <f t="shared" si="2"/>
        <v>0</v>
      </c>
      <c r="H66" s="58">
        <f t="shared" si="3"/>
        <v>9608.7800000000007</v>
      </c>
    </row>
    <row r="67" spans="1:8" ht="22.5" customHeight="1">
      <c r="A67" s="23"/>
      <c r="B67" s="34"/>
      <c r="C67" s="21"/>
      <c r="D67" s="24"/>
      <c r="E67" s="24"/>
      <c r="F67" s="25"/>
      <c r="G67" s="57">
        <f t="shared" si="2"/>
        <v>0</v>
      </c>
      <c r="H67" s="58">
        <f t="shared" si="3"/>
        <v>9608.7800000000007</v>
      </c>
    </row>
    <row r="68" spans="1:8" ht="22.5" customHeight="1">
      <c r="A68" s="23"/>
      <c r="B68" s="34"/>
      <c r="C68" s="21"/>
      <c r="D68" s="24"/>
      <c r="E68" s="24"/>
      <c r="F68" s="25"/>
      <c r="G68" s="57">
        <f t="shared" si="2"/>
        <v>0</v>
      </c>
      <c r="H68" s="58">
        <f t="shared" si="3"/>
        <v>9608.7800000000007</v>
      </c>
    </row>
    <row r="69" spans="1:8" ht="22.5" customHeight="1">
      <c r="A69" s="23"/>
      <c r="B69" s="34"/>
      <c r="C69" s="21"/>
      <c r="D69" s="24"/>
      <c r="E69" s="24"/>
      <c r="F69" s="25"/>
      <c r="G69" s="57">
        <f t="shared" si="2"/>
        <v>0</v>
      </c>
      <c r="H69" s="58">
        <f t="shared" si="3"/>
        <v>9608.7800000000007</v>
      </c>
    </row>
    <row r="70" spans="1:8" ht="22.5" customHeight="1">
      <c r="A70" s="23"/>
      <c r="B70" s="34"/>
      <c r="C70" s="21"/>
      <c r="D70" s="24"/>
      <c r="E70" s="24"/>
      <c r="F70" s="25"/>
      <c r="G70" s="57">
        <f t="shared" si="2"/>
        <v>0</v>
      </c>
      <c r="H70" s="58">
        <f t="shared" si="3"/>
        <v>9608.7800000000007</v>
      </c>
    </row>
    <row r="71" spans="1:8" ht="22.5" customHeight="1">
      <c r="A71" s="23"/>
      <c r="B71" s="34"/>
      <c r="C71" s="21"/>
      <c r="D71" s="24"/>
      <c r="E71" s="24"/>
      <c r="F71" s="25"/>
      <c r="G71" s="57">
        <f t="shared" ref="G71:G102" si="4">IF(A71="Despesas",E71*-1,IF(A71="Receitas",E71,0))</f>
        <v>0</v>
      </c>
      <c r="H71" s="58">
        <f t="shared" ref="H71:H102" si="5">H70+G71</f>
        <v>9608.7800000000007</v>
      </c>
    </row>
    <row r="72" spans="1:8" ht="22.5" customHeight="1">
      <c r="A72" s="23"/>
      <c r="B72" s="34"/>
      <c r="C72" s="21"/>
      <c r="D72" s="24"/>
      <c r="E72" s="24"/>
      <c r="F72" s="25"/>
      <c r="G72" s="57">
        <f t="shared" si="4"/>
        <v>0</v>
      </c>
      <c r="H72" s="58">
        <f t="shared" si="5"/>
        <v>9608.7800000000007</v>
      </c>
    </row>
    <row r="73" spans="1:8" ht="22.5" customHeight="1">
      <c r="A73" s="23"/>
      <c r="B73" s="34"/>
      <c r="C73" s="21"/>
      <c r="D73" s="24"/>
      <c r="E73" s="24"/>
      <c r="F73" s="25"/>
      <c r="G73" s="57">
        <f t="shared" si="4"/>
        <v>0</v>
      </c>
      <c r="H73" s="58">
        <f t="shared" si="5"/>
        <v>9608.7800000000007</v>
      </c>
    </row>
    <row r="74" spans="1:8" ht="22.5" customHeight="1">
      <c r="A74" s="23"/>
      <c r="B74" s="34"/>
      <c r="C74" s="21"/>
      <c r="D74" s="24"/>
      <c r="E74" s="24"/>
      <c r="F74" s="25"/>
      <c r="G74" s="57">
        <f t="shared" si="4"/>
        <v>0</v>
      </c>
      <c r="H74" s="58">
        <f t="shared" si="5"/>
        <v>9608.7800000000007</v>
      </c>
    </row>
    <row r="75" spans="1:8" ht="22.5" customHeight="1">
      <c r="A75" s="23"/>
      <c r="B75" s="34"/>
      <c r="C75" s="21"/>
      <c r="D75" s="24"/>
      <c r="E75" s="24"/>
      <c r="F75" s="25"/>
      <c r="G75" s="57">
        <f t="shared" si="4"/>
        <v>0</v>
      </c>
      <c r="H75" s="58">
        <f t="shared" si="5"/>
        <v>9608.7800000000007</v>
      </c>
    </row>
    <row r="76" spans="1:8" ht="22.5" customHeight="1">
      <c r="A76" s="23"/>
      <c r="B76" s="34"/>
      <c r="C76" s="21"/>
      <c r="D76" s="24"/>
      <c r="E76" s="24"/>
      <c r="F76" s="25"/>
      <c r="G76" s="57">
        <f t="shared" si="4"/>
        <v>0</v>
      </c>
      <c r="H76" s="58">
        <f t="shared" si="5"/>
        <v>9608.7800000000007</v>
      </c>
    </row>
    <row r="77" spans="1:8" ht="22.5" customHeight="1">
      <c r="A77" s="23"/>
      <c r="B77" s="34"/>
      <c r="C77" s="21"/>
      <c r="D77" s="24"/>
      <c r="E77" s="24"/>
      <c r="F77" s="25"/>
      <c r="G77" s="57">
        <f t="shared" si="4"/>
        <v>0</v>
      </c>
      <c r="H77" s="58">
        <f t="shared" si="5"/>
        <v>9608.7800000000007</v>
      </c>
    </row>
    <row r="78" spans="1:8" ht="22.5" customHeight="1">
      <c r="A78" s="23"/>
      <c r="B78" s="34"/>
      <c r="C78" s="21"/>
      <c r="D78" s="24"/>
      <c r="E78" s="24"/>
      <c r="F78" s="25"/>
      <c r="G78" s="57">
        <f t="shared" si="4"/>
        <v>0</v>
      </c>
      <c r="H78" s="58">
        <f t="shared" si="5"/>
        <v>9608.7800000000007</v>
      </c>
    </row>
    <row r="79" spans="1:8" ht="22.5" customHeight="1">
      <c r="A79" s="23"/>
      <c r="B79" s="34"/>
      <c r="C79" s="21"/>
      <c r="D79" s="24"/>
      <c r="E79" s="24"/>
      <c r="F79" s="25"/>
      <c r="G79" s="57">
        <f t="shared" si="4"/>
        <v>0</v>
      </c>
      <c r="H79" s="58">
        <f t="shared" si="5"/>
        <v>9608.7800000000007</v>
      </c>
    </row>
    <row r="80" spans="1:8" ht="22.5" customHeight="1">
      <c r="A80" s="23"/>
      <c r="B80" s="34"/>
      <c r="C80" s="21"/>
      <c r="D80" s="24"/>
      <c r="E80" s="24"/>
      <c r="F80" s="25"/>
      <c r="G80" s="57">
        <f t="shared" si="4"/>
        <v>0</v>
      </c>
      <c r="H80" s="58">
        <f t="shared" si="5"/>
        <v>9608.7800000000007</v>
      </c>
    </row>
    <row r="81" spans="1:8" ht="22.5" customHeight="1">
      <c r="A81" s="23"/>
      <c r="B81" s="34"/>
      <c r="C81" s="21"/>
      <c r="D81" s="24"/>
      <c r="E81" s="24"/>
      <c r="F81" s="25"/>
      <c r="G81" s="57">
        <f t="shared" si="4"/>
        <v>0</v>
      </c>
      <c r="H81" s="58">
        <f t="shared" si="5"/>
        <v>9608.7800000000007</v>
      </c>
    </row>
    <row r="82" spans="1:8" ht="22.5" customHeight="1">
      <c r="A82" s="23"/>
      <c r="B82" s="34"/>
      <c r="C82" s="21"/>
      <c r="D82" s="24"/>
      <c r="E82" s="24"/>
      <c r="F82" s="25"/>
      <c r="G82" s="57">
        <f t="shared" si="4"/>
        <v>0</v>
      </c>
      <c r="H82" s="58">
        <f t="shared" si="5"/>
        <v>9608.7800000000007</v>
      </c>
    </row>
    <row r="83" spans="1:8" ht="22.5" customHeight="1">
      <c r="A83" s="23"/>
      <c r="B83" s="34"/>
      <c r="C83" s="21"/>
      <c r="D83" s="24"/>
      <c r="E83" s="24"/>
      <c r="F83" s="25"/>
      <c r="G83" s="57">
        <f t="shared" si="4"/>
        <v>0</v>
      </c>
      <c r="H83" s="58">
        <f t="shared" si="5"/>
        <v>9608.7800000000007</v>
      </c>
    </row>
    <row r="84" spans="1:8" ht="22.5" customHeight="1">
      <c r="A84" s="23"/>
      <c r="B84" s="34"/>
      <c r="C84" s="21"/>
      <c r="D84" s="24"/>
      <c r="E84" s="24"/>
      <c r="F84" s="25"/>
      <c r="G84" s="57">
        <f t="shared" si="4"/>
        <v>0</v>
      </c>
      <c r="H84" s="58">
        <f t="shared" si="5"/>
        <v>9608.7800000000007</v>
      </c>
    </row>
    <row r="85" spans="1:8" ht="22.5" customHeight="1">
      <c r="A85" s="23"/>
      <c r="B85" s="34"/>
      <c r="C85" s="21"/>
      <c r="D85" s="24"/>
      <c r="E85" s="24"/>
      <c r="F85" s="25"/>
      <c r="G85" s="57">
        <f t="shared" si="4"/>
        <v>0</v>
      </c>
      <c r="H85" s="58">
        <f t="shared" si="5"/>
        <v>9608.7800000000007</v>
      </c>
    </row>
    <row r="86" spans="1:8" ht="22.5" customHeight="1">
      <c r="A86" s="23"/>
      <c r="B86" s="34"/>
      <c r="C86" s="21"/>
      <c r="D86" s="24"/>
      <c r="E86" s="24"/>
      <c r="F86" s="25"/>
      <c r="G86" s="57">
        <f t="shared" si="4"/>
        <v>0</v>
      </c>
      <c r="H86" s="58">
        <f t="shared" si="5"/>
        <v>9608.7800000000007</v>
      </c>
    </row>
    <row r="87" spans="1:8" ht="22.5" customHeight="1">
      <c r="A87" s="23"/>
      <c r="B87" s="34"/>
      <c r="C87" s="21"/>
      <c r="D87" s="24"/>
      <c r="E87" s="24"/>
      <c r="F87" s="25"/>
      <c r="G87" s="57">
        <f t="shared" si="4"/>
        <v>0</v>
      </c>
      <c r="H87" s="58">
        <f t="shared" si="5"/>
        <v>9608.7800000000007</v>
      </c>
    </row>
    <row r="88" spans="1:8" ht="22.5" customHeight="1">
      <c r="A88" s="23"/>
      <c r="B88" s="34"/>
      <c r="C88" s="21"/>
      <c r="D88" s="24"/>
      <c r="E88" s="24"/>
      <c r="F88" s="25"/>
      <c r="G88" s="57">
        <f t="shared" si="4"/>
        <v>0</v>
      </c>
      <c r="H88" s="58">
        <f t="shared" si="5"/>
        <v>9608.7800000000007</v>
      </c>
    </row>
    <row r="89" spans="1:8" ht="22.5" customHeight="1">
      <c r="A89" s="23"/>
      <c r="B89" s="34"/>
      <c r="C89" s="21"/>
      <c r="D89" s="24"/>
      <c r="E89" s="24"/>
      <c r="F89" s="25"/>
      <c r="G89" s="57">
        <f t="shared" si="4"/>
        <v>0</v>
      </c>
      <c r="H89" s="58">
        <f t="shared" si="5"/>
        <v>9608.7800000000007</v>
      </c>
    </row>
    <row r="90" spans="1:8" ht="22.5" customHeight="1">
      <c r="A90" s="23"/>
      <c r="B90" s="34"/>
      <c r="C90" s="21"/>
      <c r="D90" s="24"/>
      <c r="E90" s="24"/>
      <c r="F90" s="25"/>
      <c r="G90" s="57">
        <f t="shared" si="4"/>
        <v>0</v>
      </c>
      <c r="H90" s="58">
        <f t="shared" si="5"/>
        <v>9608.7800000000007</v>
      </c>
    </row>
    <row r="91" spans="1:8" ht="22.5" customHeight="1">
      <c r="A91" s="23"/>
      <c r="B91" s="34"/>
      <c r="C91" s="21"/>
      <c r="D91" s="24"/>
      <c r="E91" s="24"/>
      <c r="F91" s="25"/>
      <c r="G91" s="57">
        <f t="shared" si="4"/>
        <v>0</v>
      </c>
      <c r="H91" s="58">
        <f t="shared" si="5"/>
        <v>9608.7800000000007</v>
      </c>
    </row>
    <row r="92" spans="1:8" ht="22.5" customHeight="1">
      <c r="A92" s="23"/>
      <c r="B92" s="34"/>
      <c r="C92" s="21"/>
      <c r="D92" s="24"/>
      <c r="E92" s="24"/>
      <c r="F92" s="25"/>
      <c r="G92" s="57">
        <f t="shared" si="4"/>
        <v>0</v>
      </c>
      <c r="H92" s="58">
        <f t="shared" si="5"/>
        <v>9608.7800000000007</v>
      </c>
    </row>
    <row r="93" spans="1:8" ht="22.5" customHeight="1">
      <c r="A93" s="23"/>
      <c r="B93" s="34"/>
      <c r="C93" s="21"/>
      <c r="D93" s="24"/>
      <c r="E93" s="24"/>
      <c r="F93" s="25"/>
      <c r="G93" s="57">
        <f t="shared" si="4"/>
        <v>0</v>
      </c>
      <c r="H93" s="58">
        <f t="shared" si="5"/>
        <v>9608.7800000000007</v>
      </c>
    </row>
    <row r="94" spans="1:8" ht="22.5" customHeight="1">
      <c r="A94" s="23"/>
      <c r="B94" s="34"/>
      <c r="C94" s="21"/>
      <c r="D94" s="24"/>
      <c r="E94" s="24"/>
      <c r="F94" s="25"/>
      <c r="G94" s="57">
        <f t="shared" si="4"/>
        <v>0</v>
      </c>
      <c r="H94" s="58">
        <f t="shared" si="5"/>
        <v>9608.7800000000007</v>
      </c>
    </row>
    <row r="95" spans="1:8" ht="22.5" customHeight="1">
      <c r="A95" s="23"/>
      <c r="B95" s="34"/>
      <c r="C95" s="21"/>
      <c r="D95" s="24"/>
      <c r="E95" s="24"/>
      <c r="F95" s="25"/>
      <c r="G95" s="57">
        <f t="shared" si="4"/>
        <v>0</v>
      </c>
      <c r="H95" s="58">
        <f t="shared" si="5"/>
        <v>9608.7800000000007</v>
      </c>
    </row>
    <row r="96" spans="1:8" ht="22.5" customHeight="1">
      <c r="A96" s="23"/>
      <c r="B96" s="34"/>
      <c r="C96" s="21"/>
      <c r="D96" s="24"/>
      <c r="E96" s="24"/>
      <c r="F96" s="25"/>
      <c r="G96" s="57">
        <f t="shared" si="4"/>
        <v>0</v>
      </c>
      <c r="H96" s="58">
        <f t="shared" si="5"/>
        <v>9608.7800000000007</v>
      </c>
    </row>
    <row r="97" spans="1:8" ht="22.5" customHeight="1">
      <c r="A97" s="23"/>
      <c r="B97" s="34"/>
      <c r="C97" s="21"/>
      <c r="D97" s="24"/>
      <c r="E97" s="24"/>
      <c r="F97" s="25"/>
      <c r="G97" s="57">
        <f t="shared" si="4"/>
        <v>0</v>
      </c>
      <c r="H97" s="58">
        <f t="shared" si="5"/>
        <v>9608.7800000000007</v>
      </c>
    </row>
    <row r="98" spans="1:8" ht="22.5" customHeight="1">
      <c r="A98" s="23"/>
      <c r="B98" s="34"/>
      <c r="C98" s="21"/>
      <c r="D98" s="24"/>
      <c r="E98" s="24"/>
      <c r="F98" s="25"/>
      <c r="G98" s="57">
        <f t="shared" si="4"/>
        <v>0</v>
      </c>
      <c r="H98" s="58">
        <f t="shared" si="5"/>
        <v>9608.7800000000007</v>
      </c>
    </row>
    <row r="99" spans="1:8" ht="22.5" customHeight="1">
      <c r="A99" s="23"/>
      <c r="B99" s="34"/>
      <c r="C99" s="21"/>
      <c r="D99" s="24"/>
      <c r="E99" s="24"/>
      <c r="F99" s="25"/>
      <c r="G99" s="57">
        <f t="shared" si="4"/>
        <v>0</v>
      </c>
      <c r="H99" s="58">
        <f t="shared" si="5"/>
        <v>9608.7800000000007</v>
      </c>
    </row>
    <row r="100" spans="1:8" ht="22.5" customHeight="1">
      <c r="A100" s="23"/>
      <c r="B100" s="34"/>
      <c r="C100" s="21"/>
      <c r="D100" s="24"/>
      <c r="E100" s="24"/>
      <c r="F100" s="25"/>
      <c r="G100" s="57">
        <f t="shared" si="4"/>
        <v>0</v>
      </c>
      <c r="H100" s="58">
        <f t="shared" si="5"/>
        <v>9608.7800000000007</v>
      </c>
    </row>
    <row r="101" spans="1:8" ht="22.5" customHeight="1">
      <c r="A101" s="23"/>
      <c r="B101" s="34"/>
      <c r="C101" s="21"/>
      <c r="D101" s="24"/>
      <c r="E101" s="24"/>
      <c r="F101" s="25"/>
      <c r="G101" s="57">
        <f t="shared" si="4"/>
        <v>0</v>
      </c>
      <c r="H101" s="58">
        <f t="shared" si="5"/>
        <v>9608.7800000000007</v>
      </c>
    </row>
    <row r="102" spans="1:8" ht="22.5" customHeight="1">
      <c r="A102" s="23"/>
      <c r="B102" s="34"/>
      <c r="C102" s="21"/>
      <c r="D102" s="24"/>
      <c r="E102" s="24"/>
      <c r="F102" s="25"/>
      <c r="G102" s="57">
        <f t="shared" si="4"/>
        <v>0</v>
      </c>
      <c r="H102" s="58">
        <f t="shared" si="5"/>
        <v>9608.7800000000007</v>
      </c>
    </row>
    <row r="103" spans="1:8" ht="22.5" customHeight="1">
      <c r="A103" s="23"/>
      <c r="B103" s="34"/>
      <c r="C103" s="21"/>
      <c r="D103" s="24"/>
      <c r="E103" s="24"/>
      <c r="F103" s="25"/>
      <c r="G103" s="57">
        <f t="shared" ref="G103:G134" si="6">IF(A103="Despesas",E103*-1,IF(A103="Receitas",E103,0))</f>
        <v>0</v>
      </c>
      <c r="H103" s="58">
        <f t="shared" ref="H103:H134" si="7">H102+G103</f>
        <v>9608.7800000000007</v>
      </c>
    </row>
    <row r="104" spans="1:8" ht="22.5" customHeight="1">
      <c r="A104" s="23"/>
      <c r="B104" s="34"/>
      <c r="C104" s="21"/>
      <c r="D104" s="24"/>
      <c r="E104" s="24"/>
      <c r="F104" s="25"/>
      <c r="G104" s="57">
        <f t="shared" si="6"/>
        <v>0</v>
      </c>
      <c r="H104" s="58">
        <f t="shared" si="7"/>
        <v>9608.7800000000007</v>
      </c>
    </row>
    <row r="105" spans="1:8" ht="22.5" customHeight="1">
      <c r="A105" s="23"/>
      <c r="B105" s="34"/>
      <c r="C105" s="21"/>
      <c r="D105" s="24"/>
      <c r="E105" s="24"/>
      <c r="F105" s="25"/>
      <c r="G105" s="57">
        <f t="shared" si="6"/>
        <v>0</v>
      </c>
      <c r="H105" s="58">
        <f t="shared" si="7"/>
        <v>9608.7800000000007</v>
      </c>
    </row>
    <row r="106" spans="1:8" ht="22.5" customHeight="1">
      <c r="A106" s="23"/>
      <c r="B106" s="34"/>
      <c r="C106" s="21"/>
      <c r="D106" s="24"/>
      <c r="E106" s="24"/>
      <c r="F106" s="25"/>
      <c r="G106" s="57">
        <f t="shared" si="6"/>
        <v>0</v>
      </c>
      <c r="H106" s="58">
        <f t="shared" si="7"/>
        <v>9608.7800000000007</v>
      </c>
    </row>
    <row r="107" spans="1:8" ht="22.5" customHeight="1">
      <c r="A107" s="23"/>
      <c r="B107" s="34"/>
      <c r="C107" s="21"/>
      <c r="D107" s="24"/>
      <c r="E107" s="24"/>
      <c r="F107" s="25"/>
      <c r="G107" s="57">
        <f t="shared" si="6"/>
        <v>0</v>
      </c>
      <c r="H107" s="58">
        <f t="shared" si="7"/>
        <v>9608.7800000000007</v>
      </c>
    </row>
    <row r="108" spans="1:8" ht="22.5" customHeight="1">
      <c r="A108" s="23"/>
      <c r="B108" s="34"/>
      <c r="C108" s="21"/>
      <c r="D108" s="24"/>
      <c r="E108" s="24"/>
      <c r="F108" s="25"/>
      <c r="G108" s="57">
        <f t="shared" si="6"/>
        <v>0</v>
      </c>
      <c r="H108" s="58">
        <f t="shared" si="7"/>
        <v>9608.7800000000007</v>
      </c>
    </row>
    <row r="109" spans="1:8" ht="22.5" customHeight="1">
      <c r="A109" s="23"/>
      <c r="B109" s="34"/>
      <c r="C109" s="21"/>
      <c r="D109" s="24"/>
      <c r="E109" s="24"/>
      <c r="F109" s="25"/>
      <c r="G109" s="57">
        <f t="shared" si="6"/>
        <v>0</v>
      </c>
      <c r="H109" s="58">
        <f t="shared" si="7"/>
        <v>9608.7800000000007</v>
      </c>
    </row>
    <row r="110" spans="1:8" ht="22.5" customHeight="1">
      <c r="A110" s="23"/>
      <c r="B110" s="34"/>
      <c r="C110" s="21"/>
      <c r="D110" s="24"/>
      <c r="E110" s="24"/>
      <c r="F110" s="25"/>
      <c r="G110" s="57">
        <f t="shared" si="6"/>
        <v>0</v>
      </c>
      <c r="H110" s="58">
        <f t="shared" si="7"/>
        <v>9608.7800000000007</v>
      </c>
    </row>
    <row r="111" spans="1:8" ht="22.5" customHeight="1">
      <c r="A111" s="23"/>
      <c r="B111" s="34"/>
      <c r="C111" s="21"/>
      <c r="D111" s="24"/>
      <c r="E111" s="24"/>
      <c r="F111" s="25"/>
      <c r="G111" s="57">
        <f t="shared" si="6"/>
        <v>0</v>
      </c>
      <c r="H111" s="58">
        <f t="shared" si="7"/>
        <v>9608.7800000000007</v>
      </c>
    </row>
    <row r="112" spans="1:8" ht="22.5" customHeight="1">
      <c r="A112" s="23"/>
      <c r="B112" s="34"/>
      <c r="C112" s="21"/>
      <c r="D112" s="24"/>
      <c r="E112" s="24"/>
      <c r="F112" s="25"/>
      <c r="G112" s="57">
        <f t="shared" si="6"/>
        <v>0</v>
      </c>
      <c r="H112" s="58">
        <f t="shared" si="7"/>
        <v>9608.7800000000007</v>
      </c>
    </row>
    <row r="113" spans="1:8" ht="22.5" customHeight="1">
      <c r="A113" s="23"/>
      <c r="B113" s="34"/>
      <c r="C113" s="21"/>
      <c r="D113" s="24"/>
      <c r="E113" s="24"/>
      <c r="F113" s="25"/>
      <c r="G113" s="57">
        <f t="shared" si="6"/>
        <v>0</v>
      </c>
      <c r="H113" s="58">
        <f t="shared" si="7"/>
        <v>9608.7800000000007</v>
      </c>
    </row>
    <row r="114" spans="1:8" ht="22.5" customHeight="1">
      <c r="A114" s="23"/>
      <c r="B114" s="34"/>
      <c r="C114" s="21"/>
      <c r="D114" s="24"/>
      <c r="E114" s="24"/>
      <c r="F114" s="25"/>
      <c r="G114" s="57">
        <f t="shared" si="6"/>
        <v>0</v>
      </c>
      <c r="H114" s="58">
        <f t="shared" si="7"/>
        <v>9608.7800000000007</v>
      </c>
    </row>
    <row r="115" spans="1:8" ht="22.5" customHeight="1">
      <c r="A115" s="23"/>
      <c r="B115" s="34"/>
      <c r="C115" s="21"/>
      <c r="D115" s="24"/>
      <c r="E115" s="24"/>
      <c r="F115" s="25"/>
      <c r="G115" s="57">
        <f t="shared" si="6"/>
        <v>0</v>
      </c>
      <c r="H115" s="58">
        <f t="shared" si="7"/>
        <v>9608.7800000000007</v>
      </c>
    </row>
    <row r="116" spans="1:8" ht="22.5" customHeight="1">
      <c r="A116" s="23"/>
      <c r="B116" s="34"/>
      <c r="C116" s="21"/>
      <c r="D116" s="24"/>
      <c r="E116" s="24"/>
      <c r="F116" s="25"/>
      <c r="G116" s="57">
        <f t="shared" si="6"/>
        <v>0</v>
      </c>
      <c r="H116" s="58">
        <f t="shared" si="7"/>
        <v>9608.7800000000007</v>
      </c>
    </row>
    <row r="117" spans="1:8" ht="22.5" customHeight="1">
      <c r="A117" s="23"/>
      <c r="B117" s="34"/>
      <c r="C117" s="21"/>
      <c r="D117" s="24"/>
      <c r="E117" s="24"/>
      <c r="F117" s="25"/>
      <c r="G117" s="57">
        <f t="shared" si="6"/>
        <v>0</v>
      </c>
      <c r="H117" s="58">
        <f t="shared" si="7"/>
        <v>9608.7800000000007</v>
      </c>
    </row>
    <row r="118" spans="1:8" ht="22.5" customHeight="1">
      <c r="A118" s="23"/>
      <c r="B118" s="34"/>
      <c r="C118" s="21"/>
      <c r="D118" s="24"/>
      <c r="E118" s="24"/>
      <c r="F118" s="25"/>
      <c r="G118" s="57">
        <f t="shared" si="6"/>
        <v>0</v>
      </c>
      <c r="H118" s="58">
        <f t="shared" si="7"/>
        <v>9608.7800000000007</v>
      </c>
    </row>
    <row r="119" spans="1:8" ht="22.5" customHeight="1">
      <c r="A119" s="23"/>
      <c r="B119" s="34"/>
      <c r="C119" s="21"/>
      <c r="D119" s="24"/>
      <c r="E119" s="24"/>
      <c r="F119" s="25"/>
      <c r="G119" s="57">
        <f t="shared" si="6"/>
        <v>0</v>
      </c>
      <c r="H119" s="58">
        <f t="shared" si="7"/>
        <v>9608.7800000000007</v>
      </c>
    </row>
    <row r="120" spans="1:8" ht="22.5" customHeight="1">
      <c r="A120" s="23"/>
      <c r="B120" s="34"/>
      <c r="C120" s="21"/>
      <c r="D120" s="24"/>
      <c r="E120" s="24"/>
      <c r="F120" s="25"/>
      <c r="G120" s="57">
        <f t="shared" si="6"/>
        <v>0</v>
      </c>
      <c r="H120" s="58">
        <f t="shared" si="7"/>
        <v>9608.7800000000007</v>
      </c>
    </row>
    <row r="121" spans="1:8" ht="22.5" customHeight="1">
      <c r="A121" s="23"/>
      <c r="B121" s="34"/>
      <c r="C121" s="21"/>
      <c r="D121" s="24"/>
      <c r="E121" s="24"/>
      <c r="F121" s="25"/>
      <c r="G121" s="57">
        <f t="shared" si="6"/>
        <v>0</v>
      </c>
      <c r="H121" s="58">
        <f t="shared" si="7"/>
        <v>9608.7800000000007</v>
      </c>
    </row>
    <row r="122" spans="1:8" ht="22.5" customHeight="1">
      <c r="A122" s="23"/>
      <c r="B122" s="34"/>
      <c r="C122" s="21"/>
      <c r="D122" s="24"/>
      <c r="E122" s="24"/>
      <c r="F122" s="25"/>
      <c r="G122" s="57">
        <f t="shared" si="6"/>
        <v>0</v>
      </c>
      <c r="H122" s="58">
        <f t="shared" si="7"/>
        <v>9608.7800000000007</v>
      </c>
    </row>
    <row r="123" spans="1:8" ht="22.5" customHeight="1">
      <c r="A123" s="23"/>
      <c r="B123" s="34"/>
      <c r="C123" s="21"/>
      <c r="D123" s="24"/>
      <c r="E123" s="24"/>
      <c r="F123" s="25"/>
      <c r="G123" s="57">
        <f t="shared" si="6"/>
        <v>0</v>
      </c>
      <c r="H123" s="58">
        <f t="shared" si="7"/>
        <v>9608.7800000000007</v>
      </c>
    </row>
    <row r="124" spans="1:8" ht="22.5" customHeight="1">
      <c r="A124" s="23"/>
      <c r="B124" s="34"/>
      <c r="C124" s="21"/>
      <c r="D124" s="24"/>
      <c r="E124" s="24"/>
      <c r="F124" s="25"/>
      <c r="G124" s="57">
        <f t="shared" si="6"/>
        <v>0</v>
      </c>
      <c r="H124" s="58">
        <f t="shared" si="7"/>
        <v>9608.7800000000007</v>
      </c>
    </row>
    <row r="125" spans="1:8" ht="22.5" customHeight="1">
      <c r="A125" s="23"/>
      <c r="B125" s="34"/>
      <c r="C125" s="21"/>
      <c r="D125" s="24"/>
      <c r="E125" s="24"/>
      <c r="F125" s="25"/>
      <c r="G125" s="57">
        <f t="shared" si="6"/>
        <v>0</v>
      </c>
      <c r="H125" s="58">
        <f t="shared" si="7"/>
        <v>9608.7800000000007</v>
      </c>
    </row>
    <row r="126" spans="1:8" ht="22.5" customHeight="1">
      <c r="A126" s="23"/>
      <c r="B126" s="34"/>
      <c r="C126" s="21"/>
      <c r="D126" s="24"/>
      <c r="E126" s="24"/>
      <c r="F126" s="25"/>
      <c r="G126" s="57">
        <f t="shared" si="6"/>
        <v>0</v>
      </c>
      <c r="H126" s="58">
        <f t="shared" si="7"/>
        <v>9608.7800000000007</v>
      </c>
    </row>
    <row r="127" spans="1:8" ht="22.5" customHeight="1">
      <c r="A127" s="23"/>
      <c r="B127" s="34"/>
      <c r="C127" s="21"/>
      <c r="D127" s="24"/>
      <c r="E127" s="24"/>
      <c r="F127" s="25"/>
      <c r="G127" s="57">
        <f t="shared" si="6"/>
        <v>0</v>
      </c>
      <c r="H127" s="58">
        <f t="shared" si="7"/>
        <v>9608.7800000000007</v>
      </c>
    </row>
    <row r="128" spans="1:8" ht="22.5" customHeight="1">
      <c r="A128" s="23"/>
      <c r="B128" s="34"/>
      <c r="C128" s="21"/>
      <c r="D128" s="24"/>
      <c r="E128" s="24"/>
      <c r="F128" s="25"/>
      <c r="G128" s="57">
        <f t="shared" si="6"/>
        <v>0</v>
      </c>
      <c r="H128" s="58">
        <f t="shared" si="7"/>
        <v>9608.7800000000007</v>
      </c>
    </row>
    <row r="129" spans="1:8" ht="22.5" customHeight="1">
      <c r="A129" s="23"/>
      <c r="B129" s="34"/>
      <c r="C129" s="21"/>
      <c r="D129" s="24"/>
      <c r="E129" s="24"/>
      <c r="F129" s="25"/>
      <c r="G129" s="57">
        <f t="shared" si="6"/>
        <v>0</v>
      </c>
      <c r="H129" s="58">
        <f t="shared" si="7"/>
        <v>9608.7800000000007</v>
      </c>
    </row>
    <row r="130" spans="1:8" ht="22.5" customHeight="1">
      <c r="A130" s="23"/>
      <c r="B130" s="34"/>
      <c r="C130" s="21"/>
      <c r="D130" s="24"/>
      <c r="E130" s="24"/>
      <c r="F130" s="25"/>
      <c r="G130" s="57">
        <f t="shared" si="6"/>
        <v>0</v>
      </c>
      <c r="H130" s="58">
        <f t="shared" si="7"/>
        <v>9608.7800000000007</v>
      </c>
    </row>
    <row r="131" spans="1:8" ht="22.5" customHeight="1">
      <c r="A131" s="23"/>
      <c r="B131" s="34"/>
      <c r="C131" s="21"/>
      <c r="D131" s="24"/>
      <c r="E131" s="24"/>
      <c r="F131" s="25"/>
      <c r="G131" s="57">
        <f t="shared" si="6"/>
        <v>0</v>
      </c>
      <c r="H131" s="58">
        <f t="shared" si="7"/>
        <v>9608.7800000000007</v>
      </c>
    </row>
    <row r="132" spans="1:8" ht="22.5" customHeight="1">
      <c r="A132" s="23"/>
      <c r="B132" s="34"/>
      <c r="C132" s="21"/>
      <c r="D132" s="24"/>
      <c r="E132" s="24"/>
      <c r="F132" s="25"/>
      <c r="G132" s="57">
        <f t="shared" si="6"/>
        <v>0</v>
      </c>
      <c r="H132" s="58">
        <f t="shared" si="7"/>
        <v>9608.7800000000007</v>
      </c>
    </row>
    <row r="133" spans="1:8" ht="22.5" customHeight="1">
      <c r="A133" s="23"/>
      <c r="B133" s="34"/>
      <c r="C133" s="21"/>
      <c r="D133" s="24"/>
      <c r="E133" s="24"/>
      <c r="F133" s="25"/>
      <c r="G133" s="57">
        <f t="shared" si="6"/>
        <v>0</v>
      </c>
      <c r="H133" s="58">
        <f t="shared" si="7"/>
        <v>9608.7800000000007</v>
      </c>
    </row>
    <row r="134" spans="1:8" ht="22.5" customHeight="1">
      <c r="A134" s="23"/>
      <c r="B134" s="34"/>
      <c r="C134" s="21"/>
      <c r="D134" s="24"/>
      <c r="E134" s="24"/>
      <c r="F134" s="25"/>
      <c r="G134" s="57">
        <f t="shared" si="6"/>
        <v>0</v>
      </c>
      <c r="H134" s="58">
        <f t="shared" si="7"/>
        <v>9608.7800000000007</v>
      </c>
    </row>
    <row r="135" spans="1:8" ht="22.5" customHeight="1">
      <c r="A135" s="23"/>
      <c r="B135" s="34"/>
      <c r="C135" s="21"/>
      <c r="D135" s="24"/>
      <c r="E135" s="24"/>
      <c r="F135" s="25"/>
      <c r="G135" s="57">
        <f t="shared" ref="G135:G166" si="8">IF(A135="Despesas",E135*-1,IF(A135="Receitas",E135,0))</f>
        <v>0</v>
      </c>
      <c r="H135" s="58">
        <f t="shared" ref="H135:H166" si="9">H134+G135</f>
        <v>9608.7800000000007</v>
      </c>
    </row>
    <row r="136" spans="1:8" ht="22.5" customHeight="1">
      <c r="A136" s="23"/>
      <c r="B136" s="34"/>
      <c r="C136" s="21"/>
      <c r="D136" s="24"/>
      <c r="E136" s="24"/>
      <c r="F136" s="25"/>
      <c r="G136" s="57">
        <f t="shared" si="8"/>
        <v>0</v>
      </c>
      <c r="H136" s="58">
        <f t="shared" si="9"/>
        <v>9608.7800000000007</v>
      </c>
    </row>
    <row r="137" spans="1:8" ht="22.5" customHeight="1">
      <c r="A137" s="23"/>
      <c r="B137" s="34"/>
      <c r="C137" s="21"/>
      <c r="D137" s="24"/>
      <c r="E137" s="24"/>
      <c r="F137" s="25"/>
      <c r="G137" s="57">
        <f t="shared" si="8"/>
        <v>0</v>
      </c>
      <c r="H137" s="58">
        <f t="shared" si="9"/>
        <v>9608.7800000000007</v>
      </c>
    </row>
    <row r="138" spans="1:8" ht="22.5" customHeight="1">
      <c r="A138" s="23"/>
      <c r="B138" s="34"/>
      <c r="C138" s="21"/>
      <c r="D138" s="24"/>
      <c r="E138" s="24"/>
      <c r="F138" s="25"/>
      <c r="G138" s="57">
        <f t="shared" si="8"/>
        <v>0</v>
      </c>
      <c r="H138" s="58">
        <f t="shared" si="9"/>
        <v>9608.7800000000007</v>
      </c>
    </row>
    <row r="139" spans="1:8" ht="22.5" customHeight="1">
      <c r="A139" s="23"/>
      <c r="B139" s="34"/>
      <c r="C139" s="21"/>
      <c r="D139" s="24"/>
      <c r="E139" s="24"/>
      <c r="F139" s="25"/>
      <c r="G139" s="57">
        <f t="shared" si="8"/>
        <v>0</v>
      </c>
      <c r="H139" s="58">
        <f t="shared" si="9"/>
        <v>9608.7800000000007</v>
      </c>
    </row>
    <row r="140" spans="1:8" ht="22.5" customHeight="1">
      <c r="A140" s="23"/>
      <c r="B140" s="34"/>
      <c r="C140" s="21"/>
      <c r="D140" s="24"/>
      <c r="E140" s="24"/>
      <c r="F140" s="25"/>
      <c r="G140" s="57">
        <f t="shared" si="8"/>
        <v>0</v>
      </c>
      <c r="H140" s="58">
        <f t="shared" si="9"/>
        <v>9608.7800000000007</v>
      </c>
    </row>
    <row r="141" spans="1:8" ht="22.5" customHeight="1">
      <c r="A141" s="23"/>
      <c r="B141" s="34"/>
      <c r="C141" s="21"/>
      <c r="D141" s="24"/>
      <c r="E141" s="24"/>
      <c r="F141" s="25"/>
      <c r="G141" s="57">
        <f t="shared" si="8"/>
        <v>0</v>
      </c>
      <c r="H141" s="58">
        <f t="shared" si="9"/>
        <v>9608.7800000000007</v>
      </c>
    </row>
    <row r="142" spans="1:8" ht="22.5" customHeight="1">
      <c r="A142" s="23"/>
      <c r="B142" s="34"/>
      <c r="C142" s="21"/>
      <c r="D142" s="24"/>
      <c r="E142" s="24"/>
      <c r="F142" s="25"/>
      <c r="G142" s="57">
        <f t="shared" si="8"/>
        <v>0</v>
      </c>
      <c r="H142" s="58">
        <f t="shared" si="9"/>
        <v>9608.7800000000007</v>
      </c>
    </row>
    <row r="143" spans="1:8" ht="22.5" customHeight="1">
      <c r="A143" s="23"/>
      <c r="B143" s="34"/>
      <c r="C143" s="21"/>
      <c r="D143" s="24"/>
      <c r="E143" s="24"/>
      <c r="F143" s="25"/>
      <c r="G143" s="57">
        <f t="shared" si="8"/>
        <v>0</v>
      </c>
      <c r="H143" s="58">
        <f t="shared" ref="H143:H206" si="10">H142+G143</f>
        <v>9608.7800000000007</v>
      </c>
    </row>
    <row r="144" spans="1:8" ht="22.5" customHeight="1">
      <c r="A144" s="23"/>
      <c r="B144" s="34"/>
      <c r="C144" s="21"/>
      <c r="D144" s="24"/>
      <c r="E144" s="24"/>
      <c r="F144" s="25"/>
      <c r="G144" s="57">
        <f t="shared" si="8"/>
        <v>0</v>
      </c>
      <c r="H144" s="58">
        <f t="shared" si="10"/>
        <v>9608.7800000000007</v>
      </c>
    </row>
    <row r="145" spans="1:8" ht="22.5" customHeight="1">
      <c r="A145" s="23"/>
      <c r="B145" s="34"/>
      <c r="C145" s="21"/>
      <c r="D145" s="24"/>
      <c r="E145" s="24"/>
      <c r="F145" s="25"/>
      <c r="G145" s="57">
        <f t="shared" si="8"/>
        <v>0</v>
      </c>
      <c r="H145" s="58">
        <f t="shared" si="10"/>
        <v>9608.7800000000007</v>
      </c>
    </row>
    <row r="146" spans="1:8" ht="22.5" customHeight="1">
      <c r="A146" s="23"/>
      <c r="B146" s="34"/>
      <c r="C146" s="21"/>
      <c r="D146" s="24"/>
      <c r="E146" s="24"/>
      <c r="F146" s="25"/>
      <c r="G146" s="57">
        <f t="shared" si="8"/>
        <v>0</v>
      </c>
      <c r="H146" s="58">
        <f t="shared" si="10"/>
        <v>9608.7800000000007</v>
      </c>
    </row>
    <row r="147" spans="1:8" ht="22.5" customHeight="1">
      <c r="A147" s="23"/>
      <c r="B147" s="34"/>
      <c r="C147" s="21"/>
      <c r="D147" s="24"/>
      <c r="E147" s="24"/>
      <c r="F147" s="25"/>
      <c r="G147" s="57">
        <f t="shared" si="8"/>
        <v>0</v>
      </c>
      <c r="H147" s="58">
        <f t="shared" si="10"/>
        <v>9608.7800000000007</v>
      </c>
    </row>
    <row r="148" spans="1:8" ht="22.5" customHeight="1">
      <c r="A148" s="23"/>
      <c r="B148" s="34"/>
      <c r="C148" s="21"/>
      <c r="D148" s="24"/>
      <c r="E148" s="24"/>
      <c r="F148" s="25"/>
      <c r="G148" s="57">
        <f t="shared" si="8"/>
        <v>0</v>
      </c>
      <c r="H148" s="58">
        <f t="shared" si="10"/>
        <v>9608.7800000000007</v>
      </c>
    </row>
    <row r="149" spans="1:8" ht="22.5" customHeight="1">
      <c r="A149" s="23"/>
      <c r="B149" s="34"/>
      <c r="C149" s="21"/>
      <c r="D149" s="24"/>
      <c r="E149" s="24"/>
      <c r="F149" s="25"/>
      <c r="G149" s="57">
        <f t="shared" si="8"/>
        <v>0</v>
      </c>
      <c r="H149" s="58">
        <f t="shared" si="10"/>
        <v>9608.7800000000007</v>
      </c>
    </row>
    <row r="150" spans="1:8" ht="22.5" customHeight="1">
      <c r="A150" s="23"/>
      <c r="B150" s="34"/>
      <c r="C150" s="21"/>
      <c r="D150" s="24"/>
      <c r="E150" s="24"/>
      <c r="F150" s="25"/>
      <c r="G150" s="57">
        <f t="shared" si="8"/>
        <v>0</v>
      </c>
      <c r="H150" s="58">
        <f t="shared" si="10"/>
        <v>9608.7800000000007</v>
      </c>
    </row>
    <row r="151" spans="1:8" ht="22.5" customHeight="1">
      <c r="A151" s="23"/>
      <c r="B151" s="34"/>
      <c r="C151" s="21"/>
      <c r="D151" s="24"/>
      <c r="E151" s="24"/>
      <c r="F151" s="25"/>
      <c r="G151" s="57">
        <f t="shared" si="8"/>
        <v>0</v>
      </c>
      <c r="H151" s="58">
        <f t="shared" si="10"/>
        <v>9608.7800000000007</v>
      </c>
    </row>
    <row r="152" spans="1:8" ht="22.5" customHeight="1">
      <c r="A152" s="23"/>
      <c r="B152" s="34"/>
      <c r="C152" s="21"/>
      <c r="D152" s="24"/>
      <c r="E152" s="24"/>
      <c r="F152" s="25"/>
      <c r="G152" s="57">
        <f t="shared" si="8"/>
        <v>0</v>
      </c>
      <c r="H152" s="58">
        <f t="shared" si="10"/>
        <v>9608.7800000000007</v>
      </c>
    </row>
    <row r="153" spans="1:8" ht="22.5" customHeight="1">
      <c r="A153" s="23"/>
      <c r="B153" s="34"/>
      <c r="C153" s="21"/>
      <c r="D153" s="24"/>
      <c r="E153" s="24"/>
      <c r="F153" s="25"/>
      <c r="G153" s="57">
        <f t="shared" si="8"/>
        <v>0</v>
      </c>
      <c r="H153" s="58">
        <f t="shared" si="10"/>
        <v>9608.7800000000007</v>
      </c>
    </row>
    <row r="154" spans="1:8" ht="22.5" customHeight="1">
      <c r="A154" s="23"/>
      <c r="B154" s="34"/>
      <c r="C154" s="21"/>
      <c r="D154" s="24"/>
      <c r="E154" s="24"/>
      <c r="F154" s="25"/>
      <c r="G154" s="57">
        <f t="shared" si="8"/>
        <v>0</v>
      </c>
      <c r="H154" s="58">
        <f t="shared" si="10"/>
        <v>9608.7800000000007</v>
      </c>
    </row>
    <row r="155" spans="1:8" ht="22.5" customHeight="1">
      <c r="A155" s="23"/>
      <c r="B155" s="34"/>
      <c r="C155" s="21"/>
      <c r="D155" s="24"/>
      <c r="E155" s="24"/>
      <c r="F155" s="25"/>
      <c r="G155" s="57">
        <f t="shared" si="8"/>
        <v>0</v>
      </c>
      <c r="H155" s="58">
        <f t="shared" si="10"/>
        <v>9608.7800000000007</v>
      </c>
    </row>
    <row r="156" spans="1:8" ht="22.5" customHeight="1">
      <c r="A156" s="23"/>
      <c r="B156" s="34"/>
      <c r="C156" s="21"/>
      <c r="D156" s="24"/>
      <c r="E156" s="24"/>
      <c r="F156" s="25"/>
      <c r="G156" s="57">
        <f t="shared" si="8"/>
        <v>0</v>
      </c>
      <c r="H156" s="58">
        <f t="shared" si="10"/>
        <v>9608.7800000000007</v>
      </c>
    </row>
    <row r="157" spans="1:8" ht="22.5" customHeight="1">
      <c r="A157" s="23"/>
      <c r="B157" s="34"/>
      <c r="C157" s="21"/>
      <c r="D157" s="24"/>
      <c r="E157" s="24"/>
      <c r="F157" s="25"/>
      <c r="G157" s="57">
        <f t="shared" si="8"/>
        <v>0</v>
      </c>
      <c r="H157" s="58">
        <f t="shared" si="10"/>
        <v>9608.7800000000007</v>
      </c>
    </row>
    <row r="158" spans="1:8" ht="22.5" customHeight="1">
      <c r="A158" s="23"/>
      <c r="B158" s="34"/>
      <c r="C158" s="21"/>
      <c r="D158" s="24"/>
      <c r="E158" s="24"/>
      <c r="F158" s="25"/>
      <c r="G158" s="57">
        <f t="shared" si="8"/>
        <v>0</v>
      </c>
      <c r="H158" s="58">
        <f t="shared" si="10"/>
        <v>9608.7800000000007</v>
      </c>
    </row>
    <row r="159" spans="1:8" ht="22.5" customHeight="1">
      <c r="A159" s="23"/>
      <c r="B159" s="34"/>
      <c r="C159" s="21"/>
      <c r="D159" s="24"/>
      <c r="E159" s="24"/>
      <c r="F159" s="25"/>
      <c r="G159" s="57">
        <f t="shared" si="8"/>
        <v>0</v>
      </c>
      <c r="H159" s="58">
        <f t="shared" si="10"/>
        <v>9608.7800000000007</v>
      </c>
    </row>
    <row r="160" spans="1:8" ht="22.5" customHeight="1">
      <c r="A160" s="23"/>
      <c r="B160" s="34"/>
      <c r="C160" s="21"/>
      <c r="D160" s="24"/>
      <c r="E160" s="24"/>
      <c r="F160" s="25"/>
      <c r="G160" s="57">
        <f t="shared" si="8"/>
        <v>0</v>
      </c>
      <c r="H160" s="58">
        <f t="shared" si="10"/>
        <v>9608.7800000000007</v>
      </c>
    </row>
    <row r="161" spans="1:8" ht="22.5" customHeight="1">
      <c r="A161" s="23"/>
      <c r="B161" s="34"/>
      <c r="C161" s="21"/>
      <c r="D161" s="24"/>
      <c r="E161" s="24"/>
      <c r="F161" s="25"/>
      <c r="G161" s="57">
        <f t="shared" si="8"/>
        <v>0</v>
      </c>
      <c r="H161" s="58">
        <f t="shared" si="10"/>
        <v>9608.7800000000007</v>
      </c>
    </row>
    <row r="162" spans="1:8" ht="22.5" customHeight="1">
      <c r="A162" s="23"/>
      <c r="B162" s="34"/>
      <c r="C162" s="21"/>
      <c r="D162" s="24"/>
      <c r="E162" s="24"/>
      <c r="F162" s="25"/>
      <c r="G162" s="57">
        <f t="shared" si="8"/>
        <v>0</v>
      </c>
      <c r="H162" s="58">
        <f t="shared" si="10"/>
        <v>9608.7800000000007</v>
      </c>
    </row>
    <row r="163" spans="1:8" ht="22.5" customHeight="1">
      <c r="A163" s="23"/>
      <c r="B163" s="34"/>
      <c r="C163" s="21"/>
      <c r="D163" s="24"/>
      <c r="E163" s="24"/>
      <c r="F163" s="25"/>
      <c r="G163" s="57">
        <f t="shared" si="8"/>
        <v>0</v>
      </c>
      <c r="H163" s="58">
        <f t="shared" si="10"/>
        <v>9608.7800000000007</v>
      </c>
    </row>
    <row r="164" spans="1:8" ht="22.5" customHeight="1">
      <c r="A164" s="23"/>
      <c r="B164" s="34"/>
      <c r="C164" s="21"/>
      <c r="D164" s="24"/>
      <c r="E164" s="24"/>
      <c r="F164" s="25"/>
      <c r="G164" s="57">
        <f t="shared" si="8"/>
        <v>0</v>
      </c>
      <c r="H164" s="58">
        <f t="shared" si="10"/>
        <v>9608.7800000000007</v>
      </c>
    </row>
    <row r="165" spans="1:8" ht="22.5" customHeight="1">
      <c r="A165" s="23"/>
      <c r="B165" s="34"/>
      <c r="C165" s="21"/>
      <c r="D165" s="24"/>
      <c r="E165" s="24"/>
      <c r="F165" s="25"/>
      <c r="G165" s="57">
        <f t="shared" si="8"/>
        <v>0</v>
      </c>
      <c r="H165" s="58">
        <f t="shared" si="10"/>
        <v>9608.7800000000007</v>
      </c>
    </row>
    <row r="166" spans="1:8" ht="22.5" customHeight="1">
      <c r="A166" s="23"/>
      <c r="B166" s="34"/>
      <c r="C166" s="21"/>
      <c r="D166" s="24"/>
      <c r="E166" s="24"/>
      <c r="F166" s="25"/>
      <c r="G166" s="57">
        <f t="shared" si="8"/>
        <v>0</v>
      </c>
      <c r="H166" s="58">
        <f t="shared" si="10"/>
        <v>9608.7800000000007</v>
      </c>
    </row>
    <row r="167" spans="1:8" ht="22.5" customHeight="1">
      <c r="A167" s="23"/>
      <c r="B167" s="34"/>
      <c r="C167" s="21"/>
      <c r="D167" s="24"/>
      <c r="E167" s="24"/>
      <c r="F167" s="25"/>
      <c r="G167" s="57">
        <f t="shared" ref="G167:G198" si="11">IF(A167="Despesas",E167*-1,IF(A167="Receitas",E167,0))</f>
        <v>0</v>
      </c>
      <c r="H167" s="58">
        <f t="shared" si="10"/>
        <v>9608.7800000000007</v>
      </c>
    </row>
    <row r="168" spans="1:8" ht="22.5" customHeight="1">
      <c r="A168" s="23"/>
      <c r="B168" s="34"/>
      <c r="C168" s="21"/>
      <c r="D168" s="24"/>
      <c r="E168" s="24"/>
      <c r="F168" s="25"/>
      <c r="G168" s="57">
        <f t="shared" si="11"/>
        <v>0</v>
      </c>
      <c r="H168" s="58">
        <f t="shared" si="10"/>
        <v>9608.7800000000007</v>
      </c>
    </row>
    <row r="169" spans="1:8" ht="22.5" customHeight="1">
      <c r="A169" s="23"/>
      <c r="B169" s="34"/>
      <c r="C169" s="21"/>
      <c r="D169" s="24"/>
      <c r="E169" s="24"/>
      <c r="F169" s="25"/>
      <c r="G169" s="57">
        <f t="shared" si="11"/>
        <v>0</v>
      </c>
      <c r="H169" s="58">
        <f t="shared" si="10"/>
        <v>9608.7800000000007</v>
      </c>
    </row>
    <row r="170" spans="1:8" ht="22.5" customHeight="1">
      <c r="A170" s="23"/>
      <c r="B170" s="34"/>
      <c r="C170" s="21"/>
      <c r="D170" s="24"/>
      <c r="E170" s="24"/>
      <c r="F170" s="25"/>
      <c r="G170" s="57">
        <f t="shared" si="11"/>
        <v>0</v>
      </c>
      <c r="H170" s="58">
        <f t="shared" si="10"/>
        <v>9608.7800000000007</v>
      </c>
    </row>
    <row r="171" spans="1:8" ht="22.5" customHeight="1">
      <c r="A171" s="23"/>
      <c r="B171" s="34"/>
      <c r="C171" s="21"/>
      <c r="D171" s="24"/>
      <c r="E171" s="24"/>
      <c r="F171" s="25"/>
      <c r="G171" s="57">
        <f t="shared" si="11"/>
        <v>0</v>
      </c>
      <c r="H171" s="58">
        <f t="shared" si="10"/>
        <v>9608.7800000000007</v>
      </c>
    </row>
    <row r="172" spans="1:8" ht="22.5" customHeight="1">
      <c r="A172" s="23"/>
      <c r="B172" s="34"/>
      <c r="C172" s="21"/>
      <c r="D172" s="24"/>
      <c r="E172" s="24"/>
      <c r="F172" s="25"/>
      <c r="G172" s="57">
        <f t="shared" si="11"/>
        <v>0</v>
      </c>
      <c r="H172" s="58">
        <f t="shared" si="10"/>
        <v>9608.7800000000007</v>
      </c>
    </row>
    <row r="173" spans="1:8" ht="22.5" customHeight="1">
      <c r="A173" s="23"/>
      <c r="B173" s="34"/>
      <c r="C173" s="21"/>
      <c r="D173" s="24"/>
      <c r="E173" s="24"/>
      <c r="F173" s="25"/>
      <c r="G173" s="57">
        <f t="shared" si="11"/>
        <v>0</v>
      </c>
      <c r="H173" s="58">
        <f t="shared" si="10"/>
        <v>9608.7800000000007</v>
      </c>
    </row>
    <row r="174" spans="1:8" ht="22.5" customHeight="1">
      <c r="A174" s="23"/>
      <c r="B174" s="34"/>
      <c r="C174" s="21"/>
      <c r="D174" s="24"/>
      <c r="E174" s="24"/>
      <c r="F174" s="25"/>
      <c r="G174" s="57">
        <f t="shared" si="11"/>
        <v>0</v>
      </c>
      <c r="H174" s="58">
        <f t="shared" si="10"/>
        <v>9608.7800000000007</v>
      </c>
    </row>
    <row r="175" spans="1:8" ht="22.5" customHeight="1">
      <c r="A175" s="23"/>
      <c r="B175" s="34"/>
      <c r="C175" s="21"/>
      <c r="D175" s="24"/>
      <c r="E175" s="24"/>
      <c r="F175" s="25"/>
      <c r="G175" s="57">
        <f t="shared" si="11"/>
        <v>0</v>
      </c>
      <c r="H175" s="58">
        <f t="shared" si="10"/>
        <v>9608.7800000000007</v>
      </c>
    </row>
    <row r="176" spans="1:8" ht="22.5" customHeight="1">
      <c r="A176" s="23"/>
      <c r="B176" s="34"/>
      <c r="C176" s="21"/>
      <c r="D176" s="24"/>
      <c r="E176" s="24"/>
      <c r="F176" s="25"/>
      <c r="G176" s="57">
        <f t="shared" si="11"/>
        <v>0</v>
      </c>
      <c r="H176" s="58">
        <f t="shared" si="10"/>
        <v>9608.7800000000007</v>
      </c>
    </row>
    <row r="177" spans="1:8" ht="22.5" customHeight="1">
      <c r="A177" s="23"/>
      <c r="B177" s="34"/>
      <c r="C177" s="21"/>
      <c r="D177" s="24"/>
      <c r="E177" s="24"/>
      <c r="F177" s="25"/>
      <c r="G177" s="57">
        <f t="shared" si="11"/>
        <v>0</v>
      </c>
      <c r="H177" s="58">
        <f t="shared" si="10"/>
        <v>9608.7800000000007</v>
      </c>
    </row>
    <row r="178" spans="1:8" ht="22.5" customHeight="1">
      <c r="A178" s="23"/>
      <c r="B178" s="34"/>
      <c r="C178" s="21"/>
      <c r="D178" s="24"/>
      <c r="E178" s="24"/>
      <c r="F178" s="25"/>
      <c r="G178" s="57">
        <f t="shared" si="11"/>
        <v>0</v>
      </c>
      <c r="H178" s="58">
        <f t="shared" si="10"/>
        <v>9608.7800000000007</v>
      </c>
    </row>
    <row r="179" spans="1:8" ht="22.5" customHeight="1">
      <c r="A179" s="23"/>
      <c r="B179" s="34"/>
      <c r="C179" s="21"/>
      <c r="D179" s="24"/>
      <c r="E179" s="24"/>
      <c r="F179" s="25"/>
      <c r="G179" s="57">
        <f t="shared" si="11"/>
        <v>0</v>
      </c>
      <c r="H179" s="58">
        <f t="shared" si="10"/>
        <v>9608.7800000000007</v>
      </c>
    </row>
    <row r="180" spans="1:8" ht="22.5" customHeight="1">
      <c r="A180" s="23"/>
      <c r="B180" s="34"/>
      <c r="C180" s="21"/>
      <c r="D180" s="24"/>
      <c r="E180" s="24"/>
      <c r="F180" s="25"/>
      <c r="G180" s="57">
        <f t="shared" si="11"/>
        <v>0</v>
      </c>
      <c r="H180" s="58">
        <f t="shared" si="10"/>
        <v>9608.7800000000007</v>
      </c>
    </row>
    <row r="181" spans="1:8" ht="22.5" customHeight="1">
      <c r="A181" s="23"/>
      <c r="B181" s="34"/>
      <c r="C181" s="21"/>
      <c r="D181" s="24"/>
      <c r="E181" s="24"/>
      <c r="F181" s="25"/>
      <c r="G181" s="57">
        <f t="shared" si="11"/>
        <v>0</v>
      </c>
      <c r="H181" s="58">
        <f t="shared" si="10"/>
        <v>9608.7800000000007</v>
      </c>
    </row>
    <row r="182" spans="1:8" ht="22.5" customHeight="1">
      <c r="A182" s="23"/>
      <c r="B182" s="34"/>
      <c r="C182" s="21"/>
      <c r="D182" s="24"/>
      <c r="E182" s="24"/>
      <c r="F182" s="25"/>
      <c r="G182" s="57">
        <f t="shared" si="11"/>
        <v>0</v>
      </c>
      <c r="H182" s="58">
        <f t="shared" si="10"/>
        <v>9608.7800000000007</v>
      </c>
    </row>
    <row r="183" spans="1:8" ht="22.5" customHeight="1">
      <c r="A183" s="23"/>
      <c r="B183" s="34"/>
      <c r="C183" s="21"/>
      <c r="D183" s="24"/>
      <c r="E183" s="24"/>
      <c r="F183" s="25"/>
      <c r="G183" s="57">
        <f t="shared" si="11"/>
        <v>0</v>
      </c>
      <c r="H183" s="58">
        <f t="shared" si="10"/>
        <v>9608.7800000000007</v>
      </c>
    </row>
    <row r="184" spans="1:8" ht="22.5" customHeight="1">
      <c r="A184" s="23"/>
      <c r="B184" s="34"/>
      <c r="C184" s="21"/>
      <c r="D184" s="24"/>
      <c r="E184" s="24"/>
      <c r="F184" s="25"/>
      <c r="G184" s="57">
        <f t="shared" si="11"/>
        <v>0</v>
      </c>
      <c r="H184" s="58">
        <f t="shared" si="10"/>
        <v>9608.7800000000007</v>
      </c>
    </row>
    <row r="185" spans="1:8" ht="22.5" customHeight="1">
      <c r="A185" s="23"/>
      <c r="B185" s="34"/>
      <c r="C185" s="21"/>
      <c r="D185" s="24"/>
      <c r="E185" s="24"/>
      <c r="F185" s="25"/>
      <c r="G185" s="57">
        <f t="shared" si="11"/>
        <v>0</v>
      </c>
      <c r="H185" s="58">
        <f t="shared" si="10"/>
        <v>9608.7800000000007</v>
      </c>
    </row>
    <row r="186" spans="1:8" ht="22.5" customHeight="1">
      <c r="A186" s="23"/>
      <c r="B186" s="34"/>
      <c r="C186" s="21"/>
      <c r="D186" s="24"/>
      <c r="E186" s="24"/>
      <c r="F186" s="25"/>
      <c r="G186" s="57">
        <f t="shared" si="11"/>
        <v>0</v>
      </c>
      <c r="H186" s="58">
        <f t="shared" si="10"/>
        <v>9608.7800000000007</v>
      </c>
    </row>
    <row r="187" spans="1:8" ht="22.5" customHeight="1">
      <c r="A187" s="23"/>
      <c r="B187" s="34"/>
      <c r="C187" s="21"/>
      <c r="D187" s="24"/>
      <c r="E187" s="24"/>
      <c r="F187" s="25"/>
      <c r="G187" s="57">
        <f t="shared" si="11"/>
        <v>0</v>
      </c>
      <c r="H187" s="58">
        <f t="shared" si="10"/>
        <v>9608.7800000000007</v>
      </c>
    </row>
    <row r="188" spans="1:8" ht="22.5" customHeight="1">
      <c r="A188" s="23"/>
      <c r="B188" s="34"/>
      <c r="C188" s="21"/>
      <c r="D188" s="24"/>
      <c r="E188" s="24"/>
      <c r="F188" s="25"/>
      <c r="G188" s="57">
        <f t="shared" si="11"/>
        <v>0</v>
      </c>
      <c r="H188" s="58">
        <f t="shared" si="10"/>
        <v>9608.7800000000007</v>
      </c>
    </row>
    <row r="189" spans="1:8" ht="22.5" customHeight="1">
      <c r="A189" s="23"/>
      <c r="B189" s="34"/>
      <c r="C189" s="21"/>
      <c r="D189" s="24"/>
      <c r="E189" s="24"/>
      <c r="F189" s="25"/>
      <c r="G189" s="57">
        <f t="shared" si="11"/>
        <v>0</v>
      </c>
      <c r="H189" s="58">
        <f t="shared" si="10"/>
        <v>9608.7800000000007</v>
      </c>
    </row>
    <row r="190" spans="1:8" ht="22.5" customHeight="1">
      <c r="A190" s="23"/>
      <c r="B190" s="34"/>
      <c r="C190" s="21"/>
      <c r="D190" s="24"/>
      <c r="E190" s="24"/>
      <c r="F190" s="25"/>
      <c r="G190" s="57">
        <f t="shared" si="11"/>
        <v>0</v>
      </c>
      <c r="H190" s="58">
        <f t="shared" si="10"/>
        <v>9608.7800000000007</v>
      </c>
    </row>
    <row r="191" spans="1:8" ht="22.5" customHeight="1">
      <c r="A191" s="23"/>
      <c r="B191" s="34"/>
      <c r="C191" s="21"/>
      <c r="D191" s="24"/>
      <c r="E191" s="24"/>
      <c r="F191" s="25"/>
      <c r="G191" s="57">
        <f t="shared" si="11"/>
        <v>0</v>
      </c>
      <c r="H191" s="58">
        <f t="shared" si="10"/>
        <v>9608.7800000000007</v>
      </c>
    </row>
    <row r="192" spans="1:8" ht="22.5" customHeight="1">
      <c r="A192" s="23"/>
      <c r="B192" s="34"/>
      <c r="C192" s="21"/>
      <c r="D192" s="24"/>
      <c r="E192" s="24"/>
      <c r="F192" s="25"/>
      <c r="G192" s="57">
        <f t="shared" si="11"/>
        <v>0</v>
      </c>
      <c r="H192" s="58">
        <f t="shared" si="10"/>
        <v>9608.7800000000007</v>
      </c>
    </row>
    <row r="193" spans="1:8" ht="22.5" customHeight="1">
      <c r="A193" s="23"/>
      <c r="B193" s="34"/>
      <c r="C193" s="21"/>
      <c r="D193" s="24"/>
      <c r="E193" s="24"/>
      <c r="F193" s="25"/>
      <c r="G193" s="57">
        <f t="shared" si="11"/>
        <v>0</v>
      </c>
      <c r="H193" s="58">
        <f t="shared" si="10"/>
        <v>9608.7800000000007</v>
      </c>
    </row>
    <row r="194" spans="1:8" ht="22.5" customHeight="1">
      <c r="A194" s="23"/>
      <c r="B194" s="34"/>
      <c r="C194" s="21"/>
      <c r="D194" s="24"/>
      <c r="E194" s="24"/>
      <c r="F194" s="25"/>
      <c r="G194" s="57">
        <f t="shared" si="11"/>
        <v>0</v>
      </c>
      <c r="H194" s="58">
        <f t="shared" si="10"/>
        <v>9608.7800000000007</v>
      </c>
    </row>
    <row r="195" spans="1:8" ht="22.5" customHeight="1">
      <c r="A195" s="23"/>
      <c r="B195" s="34"/>
      <c r="C195" s="21"/>
      <c r="D195" s="24"/>
      <c r="E195" s="24"/>
      <c r="F195" s="25"/>
      <c r="G195" s="57">
        <f t="shared" si="11"/>
        <v>0</v>
      </c>
      <c r="H195" s="58">
        <f t="shared" si="10"/>
        <v>9608.7800000000007</v>
      </c>
    </row>
    <row r="196" spans="1:8" ht="22.5" customHeight="1">
      <c r="A196" s="23"/>
      <c r="B196" s="34"/>
      <c r="C196" s="21"/>
      <c r="D196" s="24"/>
      <c r="E196" s="24"/>
      <c r="F196" s="25"/>
      <c r="G196" s="57">
        <f t="shared" si="11"/>
        <v>0</v>
      </c>
      <c r="H196" s="58">
        <f t="shared" si="10"/>
        <v>9608.7800000000007</v>
      </c>
    </row>
    <row r="197" spans="1:8" ht="22.5" customHeight="1">
      <c r="A197" s="23"/>
      <c r="B197" s="34"/>
      <c r="C197" s="21"/>
      <c r="D197" s="24"/>
      <c r="E197" s="24"/>
      <c r="F197" s="25"/>
      <c r="G197" s="57">
        <f t="shared" si="11"/>
        <v>0</v>
      </c>
      <c r="H197" s="58">
        <f t="shared" si="10"/>
        <v>9608.7800000000007</v>
      </c>
    </row>
    <row r="198" spans="1:8" ht="22.5" customHeight="1">
      <c r="A198" s="23"/>
      <c r="B198" s="34"/>
      <c r="C198" s="21"/>
      <c r="D198" s="24"/>
      <c r="E198" s="24"/>
      <c r="F198" s="25"/>
      <c r="G198" s="57">
        <f t="shared" si="11"/>
        <v>0</v>
      </c>
      <c r="H198" s="58">
        <f t="shared" si="10"/>
        <v>9608.7800000000007</v>
      </c>
    </row>
    <row r="199" spans="1:8" ht="22.5" customHeight="1">
      <c r="A199" s="23"/>
      <c r="B199" s="34"/>
      <c r="C199" s="21"/>
      <c r="D199" s="24"/>
      <c r="E199" s="24"/>
      <c r="F199" s="25"/>
      <c r="G199" s="57">
        <f t="shared" ref="G199:G206" si="12">IF(A199="Despesas",E199*-1,IF(A199="Receitas",E199,0))</f>
        <v>0</v>
      </c>
      <c r="H199" s="58">
        <f t="shared" si="10"/>
        <v>9608.7800000000007</v>
      </c>
    </row>
    <row r="200" spans="1:8" ht="22.5" customHeight="1">
      <c r="A200" s="23"/>
      <c r="B200" s="34"/>
      <c r="C200" s="21"/>
      <c r="D200" s="24"/>
      <c r="E200" s="24"/>
      <c r="F200" s="25"/>
      <c r="G200" s="57">
        <f t="shared" si="12"/>
        <v>0</v>
      </c>
      <c r="H200" s="58">
        <f t="shared" si="10"/>
        <v>9608.7800000000007</v>
      </c>
    </row>
    <row r="201" spans="1:8" ht="22.5" customHeight="1">
      <c r="A201" s="23"/>
      <c r="B201" s="34"/>
      <c r="C201" s="21"/>
      <c r="D201" s="24"/>
      <c r="E201" s="24"/>
      <c r="F201" s="25"/>
      <c r="G201" s="57">
        <f t="shared" si="12"/>
        <v>0</v>
      </c>
      <c r="H201" s="58">
        <f t="shared" si="10"/>
        <v>9608.7800000000007</v>
      </c>
    </row>
    <row r="202" spans="1:8" ht="22.5" customHeight="1">
      <c r="A202" s="23"/>
      <c r="B202" s="34"/>
      <c r="C202" s="21"/>
      <c r="D202" s="24"/>
      <c r="E202" s="24"/>
      <c r="F202" s="25"/>
      <c r="G202" s="57">
        <f t="shared" si="12"/>
        <v>0</v>
      </c>
      <c r="H202" s="58">
        <f t="shared" si="10"/>
        <v>9608.7800000000007</v>
      </c>
    </row>
    <row r="203" spans="1:8" ht="22.5" customHeight="1">
      <c r="A203" s="23"/>
      <c r="B203" s="34"/>
      <c r="C203" s="21"/>
      <c r="D203" s="24"/>
      <c r="E203" s="24"/>
      <c r="F203" s="25"/>
      <c r="G203" s="57">
        <f t="shared" si="12"/>
        <v>0</v>
      </c>
      <c r="H203" s="58">
        <f t="shared" si="10"/>
        <v>9608.7800000000007</v>
      </c>
    </row>
    <row r="204" spans="1:8" ht="22.5" customHeight="1">
      <c r="A204" s="23"/>
      <c r="B204" s="34"/>
      <c r="C204" s="21"/>
      <c r="D204" s="24"/>
      <c r="E204" s="24"/>
      <c r="F204" s="25"/>
      <c r="G204" s="57">
        <f t="shared" si="12"/>
        <v>0</v>
      </c>
      <c r="H204" s="58">
        <f t="shared" si="10"/>
        <v>9608.7800000000007</v>
      </c>
    </row>
    <row r="205" spans="1:8" ht="22.5" customHeight="1">
      <c r="A205" s="23"/>
      <c r="B205" s="34"/>
      <c r="C205" s="21"/>
      <c r="D205" s="24"/>
      <c r="E205" s="24"/>
      <c r="F205" s="25"/>
      <c r="G205" s="57">
        <f t="shared" si="12"/>
        <v>0</v>
      </c>
      <c r="H205" s="58">
        <f t="shared" si="10"/>
        <v>9608.7800000000007</v>
      </c>
    </row>
    <row r="206" spans="1:8" ht="22.5" customHeight="1">
      <c r="A206" s="23"/>
      <c r="B206" s="34"/>
      <c r="C206" s="21"/>
      <c r="D206" s="24"/>
      <c r="E206" s="24"/>
      <c r="F206" s="25"/>
      <c r="G206" s="57">
        <f t="shared" si="12"/>
        <v>0</v>
      </c>
      <c r="H206" s="58">
        <f t="shared" si="10"/>
        <v>9608.7800000000007</v>
      </c>
    </row>
    <row r="207" spans="1:8" ht="22.5" customHeight="1">
      <c r="A207" s="54" t="s">
        <v>71</v>
      </c>
      <c r="B207" s="34" t="s">
        <v>72</v>
      </c>
      <c r="C207" s="54" t="s">
        <v>71</v>
      </c>
      <c r="D207" s="54" t="s">
        <v>71</v>
      </c>
      <c r="E207" s="54" t="s">
        <v>71</v>
      </c>
      <c r="F207" s="54" t="s">
        <v>71</v>
      </c>
      <c r="G207" s="59" t="s">
        <v>71</v>
      </c>
      <c r="H207" s="60" t="s">
        <v>72</v>
      </c>
    </row>
  </sheetData>
  <mergeCells count="4">
    <mergeCell ref="A1:A4"/>
    <mergeCell ref="C1:E3"/>
    <mergeCell ref="F1:F3"/>
    <mergeCell ref="H2:H3"/>
  </mergeCells>
  <conditionalFormatting sqref="H7:H207">
    <cfRule type="cellIs" dxfId="5" priority="1" operator="lessThan">
      <formula>0</formula>
    </cfRule>
  </conditionalFormatting>
  <dataValidations count="6">
    <dataValidation type="custom" allowBlank="1" showDropDown="1" sqref="F6:F206" xr:uid="{9F7EE439-3012-4BB6-B358-2FB3470DB2E6}">
      <formula1>OR(NOT(ISERROR(DATEVALUE(F6))), AND(ISNUMBER(F6), LEFT(CELL("format", F6))="D"))</formula1>
    </dataValidation>
    <dataValidation type="list" allowBlank="1" sqref="A7:A206 A6:B6" xr:uid="{A0DEFDF2-6D1F-444A-9DD3-B11F2BE49A98}">
      <formula1>"Receitas,Despesas"</formula1>
    </dataValidation>
    <dataValidation type="list" allowBlank="1" sqref="C207:G207 A207 C6" xr:uid="{174899B4-B005-4957-87BE-A27BF15487AA}">
      <formula1>#REF!</formula1>
    </dataValidation>
    <dataValidation type="list" allowBlank="1" sqref="B207" xr:uid="{6E749DAF-0E52-47F4-8E45-5DD516068A52}">
      <formula1>INDIRECT($A$7)</formula1>
    </dataValidation>
    <dataValidation type="list" allowBlank="1" sqref="B7:B206" xr:uid="{8B8ECF5E-D64C-420C-9450-7EA2F07010C5}">
      <formula1>INDIRECT(A7)</formula1>
    </dataValidation>
    <dataValidation type="list" allowBlank="1" sqref="C7:C206" xr:uid="{1A0CC5E9-A072-4091-A7BF-D355D8FF2F3B}">
      <formula1>Bancos</formula1>
    </dataValidation>
  </dataValidation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6B75A-9D9D-4BE1-A8EC-7707DDB4844F}">
  <sheetPr>
    <outlinePr summaryBelow="0" summaryRight="0"/>
  </sheetPr>
  <dimension ref="A1:J207"/>
  <sheetViews>
    <sheetView showGridLines="0" workbookViewId="0">
      <selection activeCell="C4" sqref="C4"/>
    </sheetView>
  </sheetViews>
  <sheetFormatPr defaultColWidth="12.5703125" defaultRowHeight="15.75" customHeight="1"/>
  <cols>
    <col min="1" max="1" width="9.28515625" style="27" bestFit="1" customWidth="1"/>
    <col min="2" max="2" width="30.85546875" style="27" bestFit="1" customWidth="1"/>
    <col min="3" max="3" width="20.85546875" style="27" bestFit="1" customWidth="1"/>
    <col min="4" max="4" width="13.85546875" style="27" bestFit="1" customWidth="1"/>
    <col min="5" max="5" width="11.7109375" bestFit="1" customWidth="1"/>
    <col min="6" max="6" width="16.28515625" style="27" customWidth="1"/>
    <col min="7" max="7" width="11.7109375" style="27" hidden="1" customWidth="1"/>
    <col min="8" max="8" width="22.5703125" style="33" bestFit="1" customWidth="1"/>
    <col min="9" max="10" width="12.5703125" style="27" hidden="1" customWidth="1"/>
  </cols>
  <sheetData>
    <row r="1" spans="1:8" ht="19.5" customHeight="1">
      <c r="A1" s="70"/>
      <c r="B1" s="13"/>
      <c r="C1" s="74" t="s">
        <v>60</v>
      </c>
      <c r="D1" s="66"/>
      <c r="E1" s="62"/>
      <c r="F1" s="73" t="s">
        <v>44</v>
      </c>
      <c r="G1" s="14"/>
      <c r="H1" s="35" t="s">
        <v>43</v>
      </c>
    </row>
    <row r="2" spans="1:8" ht="12.75" customHeight="1">
      <c r="A2" s="66"/>
      <c r="B2" s="15"/>
      <c r="C2" s="66"/>
      <c r="D2" s="66"/>
      <c r="E2" s="62"/>
      <c r="F2" s="73"/>
      <c r="G2" s="14"/>
      <c r="H2" s="72">
        <f>JUL!H206</f>
        <v>9608.7800000000007</v>
      </c>
    </row>
    <row r="3" spans="1:8" ht="23.25" customHeight="1">
      <c r="A3" s="66"/>
      <c r="B3" s="12"/>
      <c r="C3" s="66"/>
      <c r="D3" s="66"/>
      <c r="E3" s="62"/>
      <c r="F3" s="73"/>
      <c r="G3" s="14"/>
      <c r="H3" s="72"/>
    </row>
    <row r="4" spans="1:8" ht="12.75">
      <c r="A4" s="66"/>
      <c r="B4" s="13"/>
      <c r="C4" s="16"/>
      <c r="D4" s="16"/>
      <c r="E4" s="16"/>
      <c r="F4" s="14"/>
      <c r="G4" s="14"/>
      <c r="H4" s="31"/>
    </row>
    <row r="5" spans="1:8" ht="22.5" customHeight="1">
      <c r="A5" s="28" t="s">
        <v>45</v>
      </c>
      <c r="B5" s="29" t="s">
        <v>46</v>
      </c>
      <c r="C5" s="30" t="s">
        <v>47</v>
      </c>
      <c r="D5" s="29" t="s">
        <v>48</v>
      </c>
      <c r="E5" s="36" t="s">
        <v>49</v>
      </c>
      <c r="F5" s="29" t="s">
        <v>50</v>
      </c>
      <c r="G5" s="32" t="s">
        <v>67</v>
      </c>
      <c r="H5" s="36" t="s">
        <v>51</v>
      </c>
    </row>
    <row r="6" spans="1:8" ht="22.5" customHeight="1">
      <c r="A6" s="26"/>
      <c r="B6" s="26"/>
      <c r="C6" s="26"/>
      <c r="D6" s="26" t="s">
        <v>52</v>
      </c>
      <c r="E6" s="17">
        <f>H2</f>
        <v>9608.7800000000007</v>
      </c>
      <c r="F6" s="18">
        <v>46234</v>
      </c>
      <c r="G6" s="55">
        <f>E6</f>
        <v>9608.7800000000007</v>
      </c>
      <c r="H6" s="56">
        <f>E6</f>
        <v>9608.7800000000007</v>
      </c>
    </row>
    <row r="7" spans="1:8" ht="22.5" customHeight="1">
      <c r="A7" s="34"/>
      <c r="B7" s="34"/>
      <c r="C7" s="21"/>
      <c r="D7" s="22"/>
      <c r="E7" s="22"/>
      <c r="F7" s="19"/>
      <c r="G7" s="57">
        <f t="shared" ref="G7:G38" si="0">IF(A7="Despesas",E7*-1,IF(A7="Receitas",E7,0))</f>
        <v>0</v>
      </c>
      <c r="H7" s="58">
        <f t="shared" ref="H7:H38" si="1">H6+G7</f>
        <v>9608.7800000000007</v>
      </c>
    </row>
    <row r="8" spans="1:8" ht="22.5" customHeight="1">
      <c r="A8" s="34"/>
      <c r="B8" s="34"/>
      <c r="C8" s="21"/>
      <c r="D8" s="22"/>
      <c r="E8" s="22"/>
      <c r="F8" s="20"/>
      <c r="G8" s="57">
        <f t="shared" si="0"/>
        <v>0</v>
      </c>
      <c r="H8" s="58">
        <f t="shared" si="1"/>
        <v>9608.7800000000007</v>
      </c>
    </row>
    <row r="9" spans="1:8" ht="22.5" customHeight="1">
      <c r="A9" s="21"/>
      <c r="B9" s="34"/>
      <c r="C9" s="21"/>
      <c r="D9" s="22"/>
      <c r="E9" s="22"/>
      <c r="F9" s="19"/>
      <c r="G9" s="57">
        <f t="shared" si="0"/>
        <v>0</v>
      </c>
      <c r="H9" s="58">
        <f t="shared" si="1"/>
        <v>9608.7800000000007</v>
      </c>
    </row>
    <row r="10" spans="1:8" ht="22.5" customHeight="1">
      <c r="A10" s="21"/>
      <c r="B10" s="34"/>
      <c r="C10" s="21"/>
      <c r="D10" s="22"/>
      <c r="E10" s="22"/>
      <c r="F10" s="20"/>
      <c r="G10" s="57">
        <f t="shared" si="0"/>
        <v>0</v>
      </c>
      <c r="H10" s="58">
        <f t="shared" si="1"/>
        <v>9608.7800000000007</v>
      </c>
    </row>
    <row r="11" spans="1:8" ht="22.5" customHeight="1">
      <c r="A11" s="21"/>
      <c r="B11" s="34"/>
      <c r="C11" s="21"/>
      <c r="D11" s="22"/>
      <c r="E11" s="22"/>
      <c r="F11" s="19"/>
      <c r="G11" s="57">
        <f t="shared" si="0"/>
        <v>0</v>
      </c>
      <c r="H11" s="58">
        <f t="shared" si="1"/>
        <v>9608.7800000000007</v>
      </c>
    </row>
    <row r="12" spans="1:8" ht="22.5" customHeight="1">
      <c r="A12" s="21"/>
      <c r="B12" s="34"/>
      <c r="C12" s="21"/>
      <c r="D12" s="22"/>
      <c r="E12" s="22"/>
      <c r="F12" s="20"/>
      <c r="G12" s="57">
        <f t="shared" si="0"/>
        <v>0</v>
      </c>
      <c r="H12" s="58">
        <f t="shared" si="1"/>
        <v>9608.7800000000007</v>
      </c>
    </row>
    <row r="13" spans="1:8" ht="22.5" customHeight="1">
      <c r="A13" s="21"/>
      <c r="B13" s="34"/>
      <c r="C13" s="21"/>
      <c r="D13" s="22"/>
      <c r="E13" s="22"/>
      <c r="F13" s="19"/>
      <c r="G13" s="57">
        <f t="shared" si="0"/>
        <v>0</v>
      </c>
      <c r="H13" s="58">
        <f t="shared" si="1"/>
        <v>9608.7800000000007</v>
      </c>
    </row>
    <row r="14" spans="1:8" ht="22.5" customHeight="1">
      <c r="A14" s="21"/>
      <c r="B14" s="34"/>
      <c r="C14" s="21"/>
      <c r="D14" s="22"/>
      <c r="E14" s="22"/>
      <c r="F14" s="20"/>
      <c r="G14" s="57">
        <f t="shared" si="0"/>
        <v>0</v>
      </c>
      <c r="H14" s="58">
        <f t="shared" si="1"/>
        <v>9608.7800000000007</v>
      </c>
    </row>
    <row r="15" spans="1:8" ht="22.5" customHeight="1">
      <c r="A15" s="21"/>
      <c r="B15" s="34"/>
      <c r="C15" s="21"/>
      <c r="D15" s="22"/>
      <c r="E15" s="22"/>
      <c r="F15" s="19"/>
      <c r="G15" s="57">
        <f t="shared" si="0"/>
        <v>0</v>
      </c>
      <c r="H15" s="58">
        <f t="shared" si="1"/>
        <v>9608.7800000000007</v>
      </c>
    </row>
    <row r="16" spans="1:8" ht="22.5" customHeight="1">
      <c r="A16" s="21"/>
      <c r="B16" s="34"/>
      <c r="C16" s="21"/>
      <c r="D16" s="22"/>
      <c r="E16" s="22"/>
      <c r="F16" s="20"/>
      <c r="G16" s="57">
        <f t="shared" si="0"/>
        <v>0</v>
      </c>
      <c r="H16" s="58">
        <f t="shared" si="1"/>
        <v>9608.7800000000007</v>
      </c>
    </row>
    <row r="17" spans="1:8" ht="22.5" customHeight="1">
      <c r="A17" s="21"/>
      <c r="B17" s="34"/>
      <c r="C17" s="21"/>
      <c r="D17" s="22"/>
      <c r="E17" s="22"/>
      <c r="F17" s="19"/>
      <c r="G17" s="57">
        <f t="shared" si="0"/>
        <v>0</v>
      </c>
      <c r="H17" s="58">
        <f t="shared" si="1"/>
        <v>9608.7800000000007</v>
      </c>
    </row>
    <row r="18" spans="1:8" ht="22.5" customHeight="1">
      <c r="A18" s="21"/>
      <c r="B18" s="34"/>
      <c r="C18" s="21"/>
      <c r="D18" s="22"/>
      <c r="E18" s="22"/>
      <c r="F18" s="20"/>
      <c r="G18" s="57">
        <f t="shared" si="0"/>
        <v>0</v>
      </c>
      <c r="H18" s="58">
        <f t="shared" si="1"/>
        <v>9608.7800000000007</v>
      </c>
    </row>
    <row r="19" spans="1:8" ht="22.5" customHeight="1">
      <c r="A19" s="21"/>
      <c r="B19" s="34"/>
      <c r="C19" s="21"/>
      <c r="D19" s="22"/>
      <c r="E19" s="22"/>
      <c r="F19" s="19"/>
      <c r="G19" s="57">
        <f t="shared" si="0"/>
        <v>0</v>
      </c>
      <c r="H19" s="58">
        <f t="shared" si="1"/>
        <v>9608.7800000000007</v>
      </c>
    </row>
    <row r="20" spans="1:8" ht="22.5" customHeight="1">
      <c r="A20" s="21"/>
      <c r="B20" s="34"/>
      <c r="C20" s="21"/>
      <c r="D20" s="22"/>
      <c r="E20" s="22"/>
      <c r="F20" s="20"/>
      <c r="G20" s="57">
        <f t="shared" si="0"/>
        <v>0</v>
      </c>
      <c r="H20" s="58">
        <f t="shared" si="1"/>
        <v>9608.7800000000007</v>
      </c>
    </row>
    <row r="21" spans="1:8" ht="22.5" customHeight="1">
      <c r="A21" s="21"/>
      <c r="B21" s="34"/>
      <c r="C21" s="21"/>
      <c r="D21" s="22"/>
      <c r="E21" s="22"/>
      <c r="F21" s="19"/>
      <c r="G21" s="57">
        <f t="shared" si="0"/>
        <v>0</v>
      </c>
      <c r="H21" s="58">
        <f t="shared" si="1"/>
        <v>9608.7800000000007</v>
      </c>
    </row>
    <row r="22" spans="1:8" ht="22.5" customHeight="1">
      <c r="A22" s="21"/>
      <c r="B22" s="34"/>
      <c r="C22" s="21"/>
      <c r="D22" s="22"/>
      <c r="E22" s="22"/>
      <c r="F22" s="20"/>
      <c r="G22" s="57">
        <f t="shared" si="0"/>
        <v>0</v>
      </c>
      <c r="H22" s="58">
        <f t="shared" si="1"/>
        <v>9608.7800000000007</v>
      </c>
    </row>
    <row r="23" spans="1:8" ht="22.5" customHeight="1">
      <c r="A23" s="21"/>
      <c r="B23" s="34"/>
      <c r="C23" s="21"/>
      <c r="D23" s="22"/>
      <c r="E23" s="22"/>
      <c r="F23" s="19"/>
      <c r="G23" s="57">
        <f t="shared" si="0"/>
        <v>0</v>
      </c>
      <c r="H23" s="58">
        <f t="shared" si="1"/>
        <v>9608.7800000000007</v>
      </c>
    </row>
    <row r="24" spans="1:8" ht="22.5" customHeight="1">
      <c r="A24" s="21"/>
      <c r="B24" s="34"/>
      <c r="C24" s="21"/>
      <c r="D24" s="22"/>
      <c r="E24" s="22"/>
      <c r="F24" s="20"/>
      <c r="G24" s="57">
        <f t="shared" si="0"/>
        <v>0</v>
      </c>
      <c r="H24" s="58">
        <f t="shared" si="1"/>
        <v>9608.7800000000007</v>
      </c>
    </row>
    <row r="25" spans="1:8" ht="22.5" customHeight="1">
      <c r="A25" s="21"/>
      <c r="B25" s="34"/>
      <c r="C25" s="21"/>
      <c r="D25" s="22"/>
      <c r="E25" s="22"/>
      <c r="F25" s="19"/>
      <c r="G25" s="57">
        <f t="shared" si="0"/>
        <v>0</v>
      </c>
      <c r="H25" s="58">
        <f t="shared" si="1"/>
        <v>9608.7800000000007</v>
      </c>
    </row>
    <row r="26" spans="1:8" ht="22.5" customHeight="1">
      <c r="A26" s="21"/>
      <c r="B26" s="34"/>
      <c r="C26" s="21"/>
      <c r="D26" s="22"/>
      <c r="E26" s="22"/>
      <c r="F26" s="20"/>
      <c r="G26" s="57">
        <f t="shared" si="0"/>
        <v>0</v>
      </c>
      <c r="H26" s="58">
        <f t="shared" si="1"/>
        <v>9608.7800000000007</v>
      </c>
    </row>
    <row r="27" spans="1:8" ht="22.5" customHeight="1">
      <c r="A27" s="21"/>
      <c r="B27" s="34"/>
      <c r="C27" s="21"/>
      <c r="D27" s="22"/>
      <c r="E27" s="22"/>
      <c r="F27" s="19"/>
      <c r="G27" s="57">
        <f t="shared" si="0"/>
        <v>0</v>
      </c>
      <c r="H27" s="58">
        <f t="shared" si="1"/>
        <v>9608.7800000000007</v>
      </c>
    </row>
    <row r="28" spans="1:8" ht="22.5" customHeight="1">
      <c r="A28" s="21"/>
      <c r="B28" s="34"/>
      <c r="C28" s="21"/>
      <c r="D28" s="22"/>
      <c r="E28" s="22"/>
      <c r="F28" s="20"/>
      <c r="G28" s="57">
        <f t="shared" si="0"/>
        <v>0</v>
      </c>
      <c r="H28" s="58">
        <f t="shared" si="1"/>
        <v>9608.7800000000007</v>
      </c>
    </row>
    <row r="29" spans="1:8" ht="22.5" customHeight="1">
      <c r="A29" s="21"/>
      <c r="B29" s="34"/>
      <c r="C29" s="21"/>
      <c r="D29" s="22"/>
      <c r="E29" s="22"/>
      <c r="F29" s="19"/>
      <c r="G29" s="57">
        <f t="shared" si="0"/>
        <v>0</v>
      </c>
      <c r="H29" s="58">
        <f t="shared" si="1"/>
        <v>9608.7800000000007</v>
      </c>
    </row>
    <row r="30" spans="1:8" ht="22.5" customHeight="1">
      <c r="A30" s="21"/>
      <c r="B30" s="34"/>
      <c r="C30" s="21"/>
      <c r="D30" s="22"/>
      <c r="E30" s="22"/>
      <c r="F30" s="20"/>
      <c r="G30" s="57">
        <f t="shared" si="0"/>
        <v>0</v>
      </c>
      <c r="H30" s="58">
        <f t="shared" si="1"/>
        <v>9608.7800000000007</v>
      </c>
    </row>
    <row r="31" spans="1:8" ht="22.5" customHeight="1">
      <c r="A31" s="21"/>
      <c r="B31" s="34"/>
      <c r="C31" s="21"/>
      <c r="D31" s="22"/>
      <c r="E31" s="22"/>
      <c r="F31" s="19"/>
      <c r="G31" s="57">
        <f t="shared" si="0"/>
        <v>0</v>
      </c>
      <c r="H31" s="58">
        <f t="shared" si="1"/>
        <v>9608.7800000000007</v>
      </c>
    </row>
    <row r="32" spans="1:8" ht="22.5" customHeight="1">
      <c r="A32" s="21"/>
      <c r="B32" s="34"/>
      <c r="C32" s="21"/>
      <c r="D32" s="22"/>
      <c r="E32" s="22"/>
      <c r="F32" s="20"/>
      <c r="G32" s="57">
        <f t="shared" si="0"/>
        <v>0</v>
      </c>
      <c r="H32" s="58">
        <f t="shared" si="1"/>
        <v>9608.7800000000007</v>
      </c>
    </row>
    <row r="33" spans="1:8" ht="22.5" customHeight="1">
      <c r="A33" s="21"/>
      <c r="B33" s="34"/>
      <c r="C33" s="21"/>
      <c r="D33" s="22"/>
      <c r="E33" s="22"/>
      <c r="F33" s="19"/>
      <c r="G33" s="57">
        <f t="shared" si="0"/>
        <v>0</v>
      </c>
      <c r="H33" s="58">
        <f t="shared" si="1"/>
        <v>9608.7800000000007</v>
      </c>
    </row>
    <row r="34" spans="1:8" ht="22.5" customHeight="1">
      <c r="A34" s="23"/>
      <c r="B34" s="34"/>
      <c r="C34" s="21"/>
      <c r="D34" s="24"/>
      <c r="E34" s="24"/>
      <c r="F34" s="20"/>
      <c r="G34" s="57">
        <f t="shared" si="0"/>
        <v>0</v>
      </c>
      <c r="H34" s="58">
        <f t="shared" si="1"/>
        <v>9608.7800000000007</v>
      </c>
    </row>
    <row r="35" spans="1:8" ht="22.5" customHeight="1">
      <c r="A35" s="23"/>
      <c r="B35" s="34"/>
      <c r="C35" s="21"/>
      <c r="D35" s="24"/>
      <c r="E35" s="24"/>
      <c r="F35" s="19"/>
      <c r="G35" s="57">
        <f t="shared" si="0"/>
        <v>0</v>
      </c>
      <c r="H35" s="58">
        <f t="shared" si="1"/>
        <v>9608.7800000000007</v>
      </c>
    </row>
    <row r="36" spans="1:8" ht="22.5" customHeight="1">
      <c r="A36" s="23"/>
      <c r="B36" s="34"/>
      <c r="C36" s="21"/>
      <c r="D36" s="24"/>
      <c r="E36" s="24"/>
      <c r="F36" s="20"/>
      <c r="G36" s="57">
        <f t="shared" si="0"/>
        <v>0</v>
      </c>
      <c r="H36" s="58">
        <f t="shared" si="1"/>
        <v>9608.7800000000007</v>
      </c>
    </row>
    <row r="37" spans="1:8" ht="22.5" customHeight="1">
      <c r="A37" s="23"/>
      <c r="B37" s="34"/>
      <c r="C37" s="21"/>
      <c r="D37" s="24"/>
      <c r="E37" s="24"/>
      <c r="F37" s="19"/>
      <c r="G37" s="57">
        <f t="shared" si="0"/>
        <v>0</v>
      </c>
      <c r="H37" s="58">
        <f t="shared" si="1"/>
        <v>9608.7800000000007</v>
      </c>
    </row>
    <row r="38" spans="1:8" ht="22.5" customHeight="1">
      <c r="A38" s="23"/>
      <c r="B38" s="34"/>
      <c r="C38" s="21"/>
      <c r="D38" s="24"/>
      <c r="E38" s="24"/>
      <c r="F38" s="25"/>
      <c r="G38" s="57">
        <f t="shared" si="0"/>
        <v>0</v>
      </c>
      <c r="H38" s="58">
        <f t="shared" si="1"/>
        <v>9608.7800000000007</v>
      </c>
    </row>
    <row r="39" spans="1:8" ht="22.5" customHeight="1">
      <c r="A39" s="23"/>
      <c r="B39" s="34"/>
      <c r="C39" s="21"/>
      <c r="D39" s="24"/>
      <c r="E39" s="24"/>
      <c r="F39" s="25"/>
      <c r="G39" s="57">
        <f t="shared" ref="G39:G70" si="2">IF(A39="Despesas",E39*-1,IF(A39="Receitas",E39,0))</f>
        <v>0</v>
      </c>
      <c r="H39" s="58">
        <f t="shared" ref="H39:H70" si="3">H38+G39</f>
        <v>9608.7800000000007</v>
      </c>
    </row>
    <row r="40" spans="1:8" ht="22.5" customHeight="1">
      <c r="A40" s="23"/>
      <c r="B40" s="34"/>
      <c r="C40" s="21"/>
      <c r="D40" s="24"/>
      <c r="E40" s="24"/>
      <c r="F40" s="25"/>
      <c r="G40" s="57">
        <f t="shared" si="2"/>
        <v>0</v>
      </c>
      <c r="H40" s="58">
        <f t="shared" si="3"/>
        <v>9608.7800000000007</v>
      </c>
    </row>
    <row r="41" spans="1:8" ht="22.5" customHeight="1">
      <c r="A41" s="23"/>
      <c r="B41" s="34"/>
      <c r="C41" s="21"/>
      <c r="D41" s="24"/>
      <c r="E41" s="24"/>
      <c r="F41" s="25"/>
      <c r="G41" s="57">
        <f t="shared" si="2"/>
        <v>0</v>
      </c>
      <c r="H41" s="58">
        <f t="shared" si="3"/>
        <v>9608.7800000000007</v>
      </c>
    </row>
    <row r="42" spans="1:8" ht="22.5" customHeight="1">
      <c r="A42" s="23"/>
      <c r="B42" s="34"/>
      <c r="C42" s="21"/>
      <c r="D42" s="24"/>
      <c r="E42" s="24"/>
      <c r="F42" s="25"/>
      <c r="G42" s="57">
        <f t="shared" si="2"/>
        <v>0</v>
      </c>
      <c r="H42" s="58">
        <f t="shared" si="3"/>
        <v>9608.7800000000007</v>
      </c>
    </row>
    <row r="43" spans="1:8" ht="22.5" customHeight="1">
      <c r="A43" s="23"/>
      <c r="B43" s="34"/>
      <c r="C43" s="21"/>
      <c r="D43" s="24"/>
      <c r="E43" s="24"/>
      <c r="F43" s="25"/>
      <c r="G43" s="57">
        <f t="shared" si="2"/>
        <v>0</v>
      </c>
      <c r="H43" s="58">
        <f t="shared" si="3"/>
        <v>9608.7800000000007</v>
      </c>
    </row>
    <row r="44" spans="1:8" ht="22.5" customHeight="1">
      <c r="A44" s="23"/>
      <c r="B44" s="34"/>
      <c r="C44" s="21"/>
      <c r="D44" s="24"/>
      <c r="E44" s="24"/>
      <c r="F44" s="25"/>
      <c r="G44" s="57">
        <f t="shared" si="2"/>
        <v>0</v>
      </c>
      <c r="H44" s="58">
        <f t="shared" si="3"/>
        <v>9608.7800000000007</v>
      </c>
    </row>
    <row r="45" spans="1:8" ht="22.5" customHeight="1">
      <c r="A45" s="23"/>
      <c r="B45" s="34"/>
      <c r="C45" s="21"/>
      <c r="D45" s="24"/>
      <c r="E45" s="24"/>
      <c r="F45" s="25"/>
      <c r="G45" s="57">
        <f t="shared" si="2"/>
        <v>0</v>
      </c>
      <c r="H45" s="58">
        <f t="shared" si="3"/>
        <v>9608.7800000000007</v>
      </c>
    </row>
    <row r="46" spans="1:8" ht="22.5" customHeight="1">
      <c r="A46" s="23"/>
      <c r="B46" s="34"/>
      <c r="C46" s="21"/>
      <c r="D46" s="24"/>
      <c r="E46" s="24"/>
      <c r="F46" s="25"/>
      <c r="G46" s="57">
        <f t="shared" si="2"/>
        <v>0</v>
      </c>
      <c r="H46" s="58">
        <f t="shared" si="3"/>
        <v>9608.7800000000007</v>
      </c>
    </row>
    <row r="47" spans="1:8" ht="22.5" customHeight="1">
      <c r="A47" s="23"/>
      <c r="B47" s="34"/>
      <c r="C47" s="21"/>
      <c r="D47" s="24"/>
      <c r="E47" s="24"/>
      <c r="F47" s="25"/>
      <c r="G47" s="57">
        <f t="shared" si="2"/>
        <v>0</v>
      </c>
      <c r="H47" s="58">
        <f t="shared" si="3"/>
        <v>9608.7800000000007</v>
      </c>
    </row>
    <row r="48" spans="1:8" ht="22.5" customHeight="1">
      <c r="A48" s="23"/>
      <c r="B48" s="34"/>
      <c r="C48" s="21"/>
      <c r="D48" s="24"/>
      <c r="E48" s="24"/>
      <c r="F48" s="25"/>
      <c r="G48" s="57">
        <f t="shared" si="2"/>
        <v>0</v>
      </c>
      <c r="H48" s="58">
        <f t="shared" si="3"/>
        <v>9608.7800000000007</v>
      </c>
    </row>
    <row r="49" spans="1:8" ht="22.5" customHeight="1">
      <c r="A49" s="23"/>
      <c r="B49" s="34"/>
      <c r="C49" s="21"/>
      <c r="D49" s="24"/>
      <c r="E49" s="24"/>
      <c r="F49" s="25"/>
      <c r="G49" s="57">
        <f t="shared" si="2"/>
        <v>0</v>
      </c>
      <c r="H49" s="58">
        <f t="shared" si="3"/>
        <v>9608.7800000000007</v>
      </c>
    </row>
    <row r="50" spans="1:8" ht="22.5" customHeight="1">
      <c r="A50" s="23"/>
      <c r="B50" s="34"/>
      <c r="C50" s="21"/>
      <c r="D50" s="24"/>
      <c r="E50" s="24"/>
      <c r="F50" s="25"/>
      <c r="G50" s="57">
        <f t="shared" si="2"/>
        <v>0</v>
      </c>
      <c r="H50" s="58">
        <f t="shared" si="3"/>
        <v>9608.7800000000007</v>
      </c>
    </row>
    <row r="51" spans="1:8" ht="22.5" customHeight="1">
      <c r="A51" s="23"/>
      <c r="B51" s="34"/>
      <c r="C51" s="21"/>
      <c r="D51" s="24"/>
      <c r="E51" s="24"/>
      <c r="F51" s="25"/>
      <c r="G51" s="57">
        <f t="shared" si="2"/>
        <v>0</v>
      </c>
      <c r="H51" s="58">
        <f t="shared" si="3"/>
        <v>9608.7800000000007</v>
      </c>
    </row>
    <row r="52" spans="1:8" ht="22.5" customHeight="1">
      <c r="A52" s="23"/>
      <c r="B52" s="34"/>
      <c r="C52" s="21"/>
      <c r="D52" s="24"/>
      <c r="E52" s="24"/>
      <c r="F52" s="25"/>
      <c r="G52" s="57">
        <f t="shared" si="2"/>
        <v>0</v>
      </c>
      <c r="H52" s="58">
        <f t="shared" si="3"/>
        <v>9608.7800000000007</v>
      </c>
    </row>
    <row r="53" spans="1:8" ht="22.5" customHeight="1">
      <c r="A53" s="23"/>
      <c r="B53" s="34"/>
      <c r="C53" s="21"/>
      <c r="D53" s="24"/>
      <c r="E53" s="24"/>
      <c r="F53" s="25"/>
      <c r="G53" s="57">
        <f t="shared" si="2"/>
        <v>0</v>
      </c>
      <c r="H53" s="58">
        <f t="shared" si="3"/>
        <v>9608.7800000000007</v>
      </c>
    </row>
    <row r="54" spans="1:8" ht="22.5" customHeight="1">
      <c r="A54" s="23"/>
      <c r="B54" s="34"/>
      <c r="C54" s="21"/>
      <c r="D54" s="24"/>
      <c r="E54" s="24"/>
      <c r="F54" s="25"/>
      <c r="G54" s="57">
        <f t="shared" si="2"/>
        <v>0</v>
      </c>
      <c r="H54" s="58">
        <f t="shared" si="3"/>
        <v>9608.7800000000007</v>
      </c>
    </row>
    <row r="55" spans="1:8" ht="22.5" customHeight="1">
      <c r="A55" s="23"/>
      <c r="B55" s="34"/>
      <c r="C55" s="21"/>
      <c r="D55" s="24"/>
      <c r="E55" s="24"/>
      <c r="F55" s="25"/>
      <c r="G55" s="57">
        <f t="shared" si="2"/>
        <v>0</v>
      </c>
      <c r="H55" s="58">
        <f t="shared" si="3"/>
        <v>9608.7800000000007</v>
      </c>
    </row>
    <row r="56" spans="1:8" ht="22.5" customHeight="1">
      <c r="A56" s="23"/>
      <c r="B56" s="34"/>
      <c r="C56" s="21"/>
      <c r="D56" s="24"/>
      <c r="E56" s="24"/>
      <c r="F56" s="25"/>
      <c r="G56" s="57">
        <f t="shared" si="2"/>
        <v>0</v>
      </c>
      <c r="H56" s="58">
        <f t="shared" si="3"/>
        <v>9608.7800000000007</v>
      </c>
    </row>
    <row r="57" spans="1:8" ht="22.5" customHeight="1">
      <c r="A57" s="23"/>
      <c r="B57" s="34"/>
      <c r="C57" s="21"/>
      <c r="D57" s="24"/>
      <c r="E57" s="24"/>
      <c r="F57" s="25"/>
      <c r="G57" s="57">
        <f t="shared" si="2"/>
        <v>0</v>
      </c>
      <c r="H57" s="58">
        <f t="shared" si="3"/>
        <v>9608.7800000000007</v>
      </c>
    </row>
    <row r="58" spans="1:8" ht="22.5" customHeight="1">
      <c r="A58" s="23"/>
      <c r="B58" s="34"/>
      <c r="C58" s="21"/>
      <c r="D58" s="24"/>
      <c r="E58" s="24"/>
      <c r="F58" s="25"/>
      <c r="G58" s="57">
        <f t="shared" si="2"/>
        <v>0</v>
      </c>
      <c r="H58" s="58">
        <f t="shared" si="3"/>
        <v>9608.7800000000007</v>
      </c>
    </row>
    <row r="59" spans="1:8" ht="22.5" customHeight="1">
      <c r="A59" s="23"/>
      <c r="B59" s="34"/>
      <c r="C59" s="21"/>
      <c r="D59" s="24"/>
      <c r="E59" s="24"/>
      <c r="F59" s="25"/>
      <c r="G59" s="57">
        <f t="shared" si="2"/>
        <v>0</v>
      </c>
      <c r="H59" s="58">
        <f t="shared" si="3"/>
        <v>9608.7800000000007</v>
      </c>
    </row>
    <row r="60" spans="1:8" ht="22.5" customHeight="1">
      <c r="A60" s="23"/>
      <c r="B60" s="34"/>
      <c r="C60" s="21"/>
      <c r="D60" s="24"/>
      <c r="E60" s="24"/>
      <c r="F60" s="25"/>
      <c r="G60" s="57">
        <f t="shared" si="2"/>
        <v>0</v>
      </c>
      <c r="H60" s="58">
        <f t="shared" si="3"/>
        <v>9608.7800000000007</v>
      </c>
    </row>
    <row r="61" spans="1:8" ht="22.5" customHeight="1">
      <c r="A61" s="23"/>
      <c r="B61" s="34"/>
      <c r="C61" s="21"/>
      <c r="D61" s="24"/>
      <c r="E61" s="24"/>
      <c r="F61" s="25"/>
      <c r="G61" s="57">
        <f t="shared" si="2"/>
        <v>0</v>
      </c>
      <c r="H61" s="58">
        <f t="shared" si="3"/>
        <v>9608.7800000000007</v>
      </c>
    </row>
    <row r="62" spans="1:8" ht="22.5" customHeight="1">
      <c r="A62" s="23"/>
      <c r="B62" s="34"/>
      <c r="C62" s="21"/>
      <c r="D62" s="24"/>
      <c r="E62" s="24"/>
      <c r="F62" s="25"/>
      <c r="G62" s="57">
        <f t="shared" si="2"/>
        <v>0</v>
      </c>
      <c r="H62" s="58">
        <f t="shared" si="3"/>
        <v>9608.7800000000007</v>
      </c>
    </row>
    <row r="63" spans="1:8" ht="22.5" customHeight="1">
      <c r="A63" s="23"/>
      <c r="B63" s="34"/>
      <c r="C63" s="21"/>
      <c r="D63" s="24"/>
      <c r="E63" s="24"/>
      <c r="F63" s="25"/>
      <c r="G63" s="57">
        <f t="shared" si="2"/>
        <v>0</v>
      </c>
      <c r="H63" s="58">
        <f t="shared" si="3"/>
        <v>9608.7800000000007</v>
      </c>
    </row>
    <row r="64" spans="1:8" ht="22.5" customHeight="1">
      <c r="A64" s="23"/>
      <c r="B64" s="34"/>
      <c r="C64" s="21"/>
      <c r="D64" s="24"/>
      <c r="E64" s="24"/>
      <c r="F64" s="25"/>
      <c r="G64" s="57">
        <f t="shared" si="2"/>
        <v>0</v>
      </c>
      <c r="H64" s="58">
        <f t="shared" si="3"/>
        <v>9608.7800000000007</v>
      </c>
    </row>
    <row r="65" spans="1:8" ht="22.5" customHeight="1">
      <c r="A65" s="23"/>
      <c r="B65" s="34"/>
      <c r="C65" s="21"/>
      <c r="D65" s="24"/>
      <c r="E65" s="24"/>
      <c r="F65" s="25"/>
      <c r="G65" s="57">
        <f t="shared" si="2"/>
        <v>0</v>
      </c>
      <c r="H65" s="58">
        <f t="shared" si="3"/>
        <v>9608.7800000000007</v>
      </c>
    </row>
    <row r="66" spans="1:8" ht="22.5" customHeight="1">
      <c r="A66" s="23"/>
      <c r="B66" s="34"/>
      <c r="C66" s="21"/>
      <c r="D66" s="24"/>
      <c r="E66" s="24"/>
      <c r="F66" s="25"/>
      <c r="G66" s="57">
        <f t="shared" si="2"/>
        <v>0</v>
      </c>
      <c r="H66" s="58">
        <f t="shared" si="3"/>
        <v>9608.7800000000007</v>
      </c>
    </row>
    <row r="67" spans="1:8" ht="22.5" customHeight="1">
      <c r="A67" s="23"/>
      <c r="B67" s="34"/>
      <c r="C67" s="21"/>
      <c r="D67" s="24"/>
      <c r="E67" s="24"/>
      <c r="F67" s="25"/>
      <c r="G67" s="57">
        <f t="shared" si="2"/>
        <v>0</v>
      </c>
      <c r="H67" s="58">
        <f t="shared" si="3"/>
        <v>9608.7800000000007</v>
      </c>
    </row>
    <row r="68" spans="1:8" ht="22.5" customHeight="1">
      <c r="A68" s="23"/>
      <c r="B68" s="34"/>
      <c r="C68" s="21"/>
      <c r="D68" s="24"/>
      <c r="E68" s="24"/>
      <c r="F68" s="25"/>
      <c r="G68" s="57">
        <f t="shared" si="2"/>
        <v>0</v>
      </c>
      <c r="H68" s="58">
        <f t="shared" si="3"/>
        <v>9608.7800000000007</v>
      </c>
    </row>
    <row r="69" spans="1:8" ht="22.5" customHeight="1">
      <c r="A69" s="23"/>
      <c r="B69" s="34"/>
      <c r="C69" s="21"/>
      <c r="D69" s="24"/>
      <c r="E69" s="24"/>
      <c r="F69" s="25"/>
      <c r="G69" s="57">
        <f t="shared" si="2"/>
        <v>0</v>
      </c>
      <c r="H69" s="58">
        <f t="shared" si="3"/>
        <v>9608.7800000000007</v>
      </c>
    </row>
    <row r="70" spans="1:8" ht="22.5" customHeight="1">
      <c r="A70" s="23"/>
      <c r="B70" s="34"/>
      <c r="C70" s="21"/>
      <c r="D70" s="24"/>
      <c r="E70" s="24"/>
      <c r="F70" s="25"/>
      <c r="G70" s="57">
        <f t="shared" si="2"/>
        <v>0</v>
      </c>
      <c r="H70" s="58">
        <f t="shared" si="3"/>
        <v>9608.7800000000007</v>
      </c>
    </row>
    <row r="71" spans="1:8" ht="22.5" customHeight="1">
      <c r="A71" s="23"/>
      <c r="B71" s="34"/>
      <c r="C71" s="21"/>
      <c r="D71" s="24"/>
      <c r="E71" s="24"/>
      <c r="F71" s="25"/>
      <c r="G71" s="57">
        <f t="shared" ref="G71:G102" si="4">IF(A71="Despesas",E71*-1,IF(A71="Receitas",E71,0))</f>
        <v>0</v>
      </c>
      <c r="H71" s="58">
        <f t="shared" ref="H71:H102" si="5">H70+G71</f>
        <v>9608.7800000000007</v>
      </c>
    </row>
    <row r="72" spans="1:8" ht="22.5" customHeight="1">
      <c r="A72" s="23"/>
      <c r="B72" s="34"/>
      <c r="C72" s="21"/>
      <c r="D72" s="24"/>
      <c r="E72" s="24"/>
      <c r="F72" s="25"/>
      <c r="G72" s="57">
        <f t="shared" si="4"/>
        <v>0</v>
      </c>
      <c r="H72" s="58">
        <f t="shared" si="5"/>
        <v>9608.7800000000007</v>
      </c>
    </row>
    <row r="73" spans="1:8" ht="22.5" customHeight="1">
      <c r="A73" s="23"/>
      <c r="B73" s="34"/>
      <c r="C73" s="21"/>
      <c r="D73" s="24"/>
      <c r="E73" s="24"/>
      <c r="F73" s="25"/>
      <c r="G73" s="57">
        <f t="shared" si="4"/>
        <v>0</v>
      </c>
      <c r="H73" s="58">
        <f t="shared" si="5"/>
        <v>9608.7800000000007</v>
      </c>
    </row>
    <row r="74" spans="1:8" ht="22.5" customHeight="1">
      <c r="A74" s="23"/>
      <c r="B74" s="34"/>
      <c r="C74" s="21"/>
      <c r="D74" s="24"/>
      <c r="E74" s="24"/>
      <c r="F74" s="25"/>
      <c r="G74" s="57">
        <f t="shared" si="4"/>
        <v>0</v>
      </c>
      <c r="H74" s="58">
        <f t="shared" si="5"/>
        <v>9608.7800000000007</v>
      </c>
    </row>
    <row r="75" spans="1:8" ht="22.5" customHeight="1">
      <c r="A75" s="23"/>
      <c r="B75" s="34"/>
      <c r="C75" s="21"/>
      <c r="D75" s="24"/>
      <c r="E75" s="24"/>
      <c r="F75" s="25"/>
      <c r="G75" s="57">
        <f t="shared" si="4"/>
        <v>0</v>
      </c>
      <c r="H75" s="58">
        <f t="shared" si="5"/>
        <v>9608.7800000000007</v>
      </c>
    </row>
    <row r="76" spans="1:8" ht="22.5" customHeight="1">
      <c r="A76" s="23"/>
      <c r="B76" s="34"/>
      <c r="C76" s="21"/>
      <c r="D76" s="24"/>
      <c r="E76" s="24"/>
      <c r="F76" s="25"/>
      <c r="G76" s="57">
        <f t="shared" si="4"/>
        <v>0</v>
      </c>
      <c r="H76" s="58">
        <f t="shared" si="5"/>
        <v>9608.7800000000007</v>
      </c>
    </row>
    <row r="77" spans="1:8" ht="22.5" customHeight="1">
      <c r="A77" s="23"/>
      <c r="B77" s="34"/>
      <c r="C77" s="21"/>
      <c r="D77" s="24"/>
      <c r="E77" s="24"/>
      <c r="F77" s="25"/>
      <c r="G77" s="57">
        <f t="shared" si="4"/>
        <v>0</v>
      </c>
      <c r="H77" s="58">
        <f t="shared" si="5"/>
        <v>9608.7800000000007</v>
      </c>
    </row>
    <row r="78" spans="1:8" ht="22.5" customHeight="1">
      <c r="A78" s="23"/>
      <c r="B78" s="34"/>
      <c r="C78" s="21"/>
      <c r="D78" s="24"/>
      <c r="E78" s="24"/>
      <c r="F78" s="25"/>
      <c r="G78" s="57">
        <f t="shared" si="4"/>
        <v>0</v>
      </c>
      <c r="H78" s="58">
        <f t="shared" si="5"/>
        <v>9608.7800000000007</v>
      </c>
    </row>
    <row r="79" spans="1:8" ht="22.5" customHeight="1">
      <c r="A79" s="23"/>
      <c r="B79" s="34"/>
      <c r="C79" s="21"/>
      <c r="D79" s="24"/>
      <c r="E79" s="24"/>
      <c r="F79" s="25"/>
      <c r="G79" s="57">
        <f t="shared" si="4"/>
        <v>0</v>
      </c>
      <c r="H79" s="58">
        <f t="shared" si="5"/>
        <v>9608.7800000000007</v>
      </c>
    </row>
    <row r="80" spans="1:8" ht="22.5" customHeight="1">
      <c r="A80" s="23"/>
      <c r="B80" s="34"/>
      <c r="C80" s="21"/>
      <c r="D80" s="24"/>
      <c r="E80" s="24"/>
      <c r="F80" s="25"/>
      <c r="G80" s="57">
        <f t="shared" si="4"/>
        <v>0</v>
      </c>
      <c r="H80" s="58">
        <f t="shared" si="5"/>
        <v>9608.7800000000007</v>
      </c>
    </row>
    <row r="81" spans="1:8" ht="22.5" customHeight="1">
      <c r="A81" s="23"/>
      <c r="B81" s="34"/>
      <c r="C81" s="21"/>
      <c r="D81" s="24"/>
      <c r="E81" s="24"/>
      <c r="F81" s="25"/>
      <c r="G81" s="57">
        <f t="shared" si="4"/>
        <v>0</v>
      </c>
      <c r="H81" s="58">
        <f t="shared" si="5"/>
        <v>9608.7800000000007</v>
      </c>
    </row>
    <row r="82" spans="1:8" ht="22.5" customHeight="1">
      <c r="A82" s="23"/>
      <c r="B82" s="34"/>
      <c r="C82" s="21"/>
      <c r="D82" s="24"/>
      <c r="E82" s="24"/>
      <c r="F82" s="25"/>
      <c r="G82" s="57">
        <f t="shared" si="4"/>
        <v>0</v>
      </c>
      <c r="H82" s="58">
        <f t="shared" si="5"/>
        <v>9608.7800000000007</v>
      </c>
    </row>
    <row r="83" spans="1:8" ht="22.5" customHeight="1">
      <c r="A83" s="23"/>
      <c r="B83" s="34"/>
      <c r="C83" s="21"/>
      <c r="D83" s="24"/>
      <c r="E83" s="24"/>
      <c r="F83" s="25"/>
      <c r="G83" s="57">
        <f t="shared" si="4"/>
        <v>0</v>
      </c>
      <c r="H83" s="58">
        <f t="shared" si="5"/>
        <v>9608.7800000000007</v>
      </c>
    </row>
    <row r="84" spans="1:8" ht="22.5" customHeight="1">
      <c r="A84" s="23"/>
      <c r="B84" s="34"/>
      <c r="C84" s="21"/>
      <c r="D84" s="24"/>
      <c r="E84" s="24"/>
      <c r="F84" s="25"/>
      <c r="G84" s="57">
        <f t="shared" si="4"/>
        <v>0</v>
      </c>
      <c r="H84" s="58">
        <f t="shared" si="5"/>
        <v>9608.7800000000007</v>
      </c>
    </row>
    <row r="85" spans="1:8" ht="22.5" customHeight="1">
      <c r="A85" s="23"/>
      <c r="B85" s="34"/>
      <c r="C85" s="21"/>
      <c r="D85" s="24"/>
      <c r="E85" s="24"/>
      <c r="F85" s="25"/>
      <c r="G85" s="57">
        <f t="shared" si="4"/>
        <v>0</v>
      </c>
      <c r="H85" s="58">
        <f t="shared" si="5"/>
        <v>9608.7800000000007</v>
      </c>
    </row>
    <row r="86" spans="1:8" ht="22.5" customHeight="1">
      <c r="A86" s="23"/>
      <c r="B86" s="34"/>
      <c r="C86" s="21"/>
      <c r="D86" s="24"/>
      <c r="E86" s="24"/>
      <c r="F86" s="25"/>
      <c r="G86" s="57">
        <f t="shared" si="4"/>
        <v>0</v>
      </c>
      <c r="H86" s="58">
        <f t="shared" si="5"/>
        <v>9608.7800000000007</v>
      </c>
    </row>
    <row r="87" spans="1:8" ht="22.5" customHeight="1">
      <c r="A87" s="23"/>
      <c r="B87" s="34"/>
      <c r="C87" s="21"/>
      <c r="D87" s="24"/>
      <c r="E87" s="24"/>
      <c r="F87" s="25"/>
      <c r="G87" s="57">
        <f t="shared" si="4"/>
        <v>0</v>
      </c>
      <c r="H87" s="58">
        <f t="shared" si="5"/>
        <v>9608.7800000000007</v>
      </c>
    </row>
    <row r="88" spans="1:8" ht="22.5" customHeight="1">
      <c r="A88" s="23"/>
      <c r="B88" s="34"/>
      <c r="C88" s="21"/>
      <c r="D88" s="24"/>
      <c r="E88" s="24"/>
      <c r="F88" s="25"/>
      <c r="G88" s="57">
        <f t="shared" si="4"/>
        <v>0</v>
      </c>
      <c r="H88" s="58">
        <f t="shared" si="5"/>
        <v>9608.7800000000007</v>
      </c>
    </row>
    <row r="89" spans="1:8" ht="22.5" customHeight="1">
      <c r="A89" s="23"/>
      <c r="B89" s="34"/>
      <c r="C89" s="21"/>
      <c r="D89" s="24"/>
      <c r="E89" s="24"/>
      <c r="F89" s="25"/>
      <c r="G89" s="57">
        <f t="shared" si="4"/>
        <v>0</v>
      </c>
      <c r="H89" s="58">
        <f t="shared" si="5"/>
        <v>9608.7800000000007</v>
      </c>
    </row>
    <row r="90" spans="1:8" ht="22.5" customHeight="1">
      <c r="A90" s="23"/>
      <c r="B90" s="34"/>
      <c r="C90" s="21"/>
      <c r="D90" s="24"/>
      <c r="E90" s="24"/>
      <c r="F90" s="25"/>
      <c r="G90" s="57">
        <f t="shared" si="4"/>
        <v>0</v>
      </c>
      <c r="H90" s="58">
        <f t="shared" si="5"/>
        <v>9608.7800000000007</v>
      </c>
    </row>
    <row r="91" spans="1:8" ht="22.5" customHeight="1">
      <c r="A91" s="23"/>
      <c r="B91" s="34"/>
      <c r="C91" s="21"/>
      <c r="D91" s="24"/>
      <c r="E91" s="24"/>
      <c r="F91" s="25"/>
      <c r="G91" s="57">
        <f t="shared" si="4"/>
        <v>0</v>
      </c>
      <c r="H91" s="58">
        <f t="shared" si="5"/>
        <v>9608.7800000000007</v>
      </c>
    </row>
    <row r="92" spans="1:8" ht="22.5" customHeight="1">
      <c r="A92" s="23"/>
      <c r="B92" s="34"/>
      <c r="C92" s="21"/>
      <c r="D92" s="24"/>
      <c r="E92" s="24"/>
      <c r="F92" s="25"/>
      <c r="G92" s="57">
        <f t="shared" si="4"/>
        <v>0</v>
      </c>
      <c r="H92" s="58">
        <f t="shared" si="5"/>
        <v>9608.7800000000007</v>
      </c>
    </row>
    <row r="93" spans="1:8" ht="22.5" customHeight="1">
      <c r="A93" s="23"/>
      <c r="B93" s="34"/>
      <c r="C93" s="21"/>
      <c r="D93" s="24"/>
      <c r="E93" s="24"/>
      <c r="F93" s="25"/>
      <c r="G93" s="57">
        <f t="shared" si="4"/>
        <v>0</v>
      </c>
      <c r="H93" s="58">
        <f t="shared" si="5"/>
        <v>9608.7800000000007</v>
      </c>
    </row>
    <row r="94" spans="1:8" ht="22.5" customHeight="1">
      <c r="A94" s="23"/>
      <c r="B94" s="34"/>
      <c r="C94" s="21"/>
      <c r="D94" s="24"/>
      <c r="E94" s="24"/>
      <c r="F94" s="25"/>
      <c r="G94" s="57">
        <f t="shared" si="4"/>
        <v>0</v>
      </c>
      <c r="H94" s="58">
        <f t="shared" si="5"/>
        <v>9608.7800000000007</v>
      </c>
    </row>
    <row r="95" spans="1:8" ht="22.5" customHeight="1">
      <c r="A95" s="23"/>
      <c r="B95" s="34"/>
      <c r="C95" s="21"/>
      <c r="D95" s="24"/>
      <c r="E95" s="24"/>
      <c r="F95" s="25"/>
      <c r="G95" s="57">
        <f t="shared" si="4"/>
        <v>0</v>
      </c>
      <c r="H95" s="58">
        <f t="shared" si="5"/>
        <v>9608.7800000000007</v>
      </c>
    </row>
    <row r="96" spans="1:8" ht="22.5" customHeight="1">
      <c r="A96" s="23"/>
      <c r="B96" s="34"/>
      <c r="C96" s="21"/>
      <c r="D96" s="24"/>
      <c r="E96" s="24"/>
      <c r="F96" s="25"/>
      <c r="G96" s="57">
        <f t="shared" si="4"/>
        <v>0</v>
      </c>
      <c r="H96" s="58">
        <f t="shared" si="5"/>
        <v>9608.7800000000007</v>
      </c>
    </row>
    <row r="97" spans="1:8" ht="22.5" customHeight="1">
      <c r="A97" s="23"/>
      <c r="B97" s="34"/>
      <c r="C97" s="21"/>
      <c r="D97" s="24"/>
      <c r="E97" s="24"/>
      <c r="F97" s="25"/>
      <c r="G97" s="57">
        <f t="shared" si="4"/>
        <v>0</v>
      </c>
      <c r="H97" s="58">
        <f t="shared" si="5"/>
        <v>9608.7800000000007</v>
      </c>
    </row>
    <row r="98" spans="1:8" ht="22.5" customHeight="1">
      <c r="A98" s="23"/>
      <c r="B98" s="34"/>
      <c r="C98" s="21"/>
      <c r="D98" s="24"/>
      <c r="E98" s="24"/>
      <c r="F98" s="25"/>
      <c r="G98" s="57">
        <f t="shared" si="4"/>
        <v>0</v>
      </c>
      <c r="H98" s="58">
        <f t="shared" si="5"/>
        <v>9608.7800000000007</v>
      </c>
    </row>
    <row r="99" spans="1:8" ht="22.5" customHeight="1">
      <c r="A99" s="23"/>
      <c r="B99" s="34"/>
      <c r="C99" s="21"/>
      <c r="D99" s="24"/>
      <c r="E99" s="24"/>
      <c r="F99" s="25"/>
      <c r="G99" s="57">
        <f t="shared" si="4"/>
        <v>0</v>
      </c>
      <c r="H99" s="58">
        <f t="shared" si="5"/>
        <v>9608.7800000000007</v>
      </c>
    </row>
    <row r="100" spans="1:8" ht="22.5" customHeight="1">
      <c r="A100" s="23"/>
      <c r="B100" s="34"/>
      <c r="C100" s="21"/>
      <c r="D100" s="24"/>
      <c r="E100" s="24"/>
      <c r="F100" s="25"/>
      <c r="G100" s="57">
        <f t="shared" si="4"/>
        <v>0</v>
      </c>
      <c r="H100" s="58">
        <f t="shared" si="5"/>
        <v>9608.7800000000007</v>
      </c>
    </row>
    <row r="101" spans="1:8" ht="22.5" customHeight="1">
      <c r="A101" s="23"/>
      <c r="B101" s="34"/>
      <c r="C101" s="21"/>
      <c r="D101" s="24"/>
      <c r="E101" s="24"/>
      <c r="F101" s="25"/>
      <c r="G101" s="57">
        <f t="shared" si="4"/>
        <v>0</v>
      </c>
      <c r="H101" s="58">
        <f t="shared" si="5"/>
        <v>9608.7800000000007</v>
      </c>
    </row>
    <row r="102" spans="1:8" ht="22.5" customHeight="1">
      <c r="A102" s="23"/>
      <c r="B102" s="34"/>
      <c r="C102" s="21"/>
      <c r="D102" s="24"/>
      <c r="E102" s="24"/>
      <c r="F102" s="25"/>
      <c r="G102" s="57">
        <f t="shared" si="4"/>
        <v>0</v>
      </c>
      <c r="H102" s="58">
        <f t="shared" si="5"/>
        <v>9608.7800000000007</v>
      </c>
    </row>
    <row r="103" spans="1:8" ht="22.5" customHeight="1">
      <c r="A103" s="23"/>
      <c r="B103" s="34"/>
      <c r="C103" s="21"/>
      <c r="D103" s="24"/>
      <c r="E103" s="24"/>
      <c r="F103" s="25"/>
      <c r="G103" s="57">
        <f t="shared" ref="G103:G134" si="6">IF(A103="Despesas",E103*-1,IF(A103="Receitas",E103,0))</f>
        <v>0</v>
      </c>
      <c r="H103" s="58">
        <f t="shared" ref="H103:H134" si="7">H102+G103</f>
        <v>9608.7800000000007</v>
      </c>
    </row>
    <row r="104" spans="1:8" ht="22.5" customHeight="1">
      <c r="A104" s="23"/>
      <c r="B104" s="34"/>
      <c r="C104" s="21"/>
      <c r="D104" s="24"/>
      <c r="E104" s="24"/>
      <c r="F104" s="25"/>
      <c r="G104" s="57">
        <f t="shared" si="6"/>
        <v>0</v>
      </c>
      <c r="H104" s="58">
        <f t="shared" si="7"/>
        <v>9608.7800000000007</v>
      </c>
    </row>
    <row r="105" spans="1:8" ht="22.5" customHeight="1">
      <c r="A105" s="23"/>
      <c r="B105" s="34"/>
      <c r="C105" s="21"/>
      <c r="D105" s="24"/>
      <c r="E105" s="24"/>
      <c r="F105" s="25"/>
      <c r="G105" s="57">
        <f t="shared" si="6"/>
        <v>0</v>
      </c>
      <c r="H105" s="58">
        <f t="shared" si="7"/>
        <v>9608.7800000000007</v>
      </c>
    </row>
    <row r="106" spans="1:8" ht="22.5" customHeight="1">
      <c r="A106" s="23"/>
      <c r="B106" s="34"/>
      <c r="C106" s="21"/>
      <c r="D106" s="24"/>
      <c r="E106" s="24"/>
      <c r="F106" s="25"/>
      <c r="G106" s="57">
        <f t="shared" si="6"/>
        <v>0</v>
      </c>
      <c r="H106" s="58">
        <f t="shared" si="7"/>
        <v>9608.7800000000007</v>
      </c>
    </row>
    <row r="107" spans="1:8" ht="22.5" customHeight="1">
      <c r="A107" s="23"/>
      <c r="B107" s="34"/>
      <c r="C107" s="21"/>
      <c r="D107" s="24"/>
      <c r="E107" s="24"/>
      <c r="F107" s="25"/>
      <c r="G107" s="57">
        <f t="shared" si="6"/>
        <v>0</v>
      </c>
      <c r="H107" s="58">
        <f t="shared" si="7"/>
        <v>9608.7800000000007</v>
      </c>
    </row>
    <row r="108" spans="1:8" ht="22.5" customHeight="1">
      <c r="A108" s="23"/>
      <c r="B108" s="34"/>
      <c r="C108" s="21"/>
      <c r="D108" s="24"/>
      <c r="E108" s="24"/>
      <c r="F108" s="25"/>
      <c r="G108" s="57">
        <f t="shared" si="6"/>
        <v>0</v>
      </c>
      <c r="H108" s="58">
        <f t="shared" si="7"/>
        <v>9608.7800000000007</v>
      </c>
    </row>
    <row r="109" spans="1:8" ht="22.5" customHeight="1">
      <c r="A109" s="23"/>
      <c r="B109" s="34"/>
      <c r="C109" s="21"/>
      <c r="D109" s="24"/>
      <c r="E109" s="24"/>
      <c r="F109" s="25"/>
      <c r="G109" s="57">
        <f t="shared" si="6"/>
        <v>0</v>
      </c>
      <c r="H109" s="58">
        <f t="shared" si="7"/>
        <v>9608.7800000000007</v>
      </c>
    </row>
    <row r="110" spans="1:8" ht="22.5" customHeight="1">
      <c r="A110" s="23"/>
      <c r="B110" s="34"/>
      <c r="C110" s="21"/>
      <c r="D110" s="24"/>
      <c r="E110" s="24"/>
      <c r="F110" s="25"/>
      <c r="G110" s="57">
        <f t="shared" si="6"/>
        <v>0</v>
      </c>
      <c r="H110" s="58">
        <f t="shared" si="7"/>
        <v>9608.7800000000007</v>
      </c>
    </row>
    <row r="111" spans="1:8" ht="22.5" customHeight="1">
      <c r="A111" s="23"/>
      <c r="B111" s="34"/>
      <c r="C111" s="21"/>
      <c r="D111" s="24"/>
      <c r="E111" s="24"/>
      <c r="F111" s="25"/>
      <c r="G111" s="57">
        <f t="shared" si="6"/>
        <v>0</v>
      </c>
      <c r="H111" s="58">
        <f t="shared" si="7"/>
        <v>9608.7800000000007</v>
      </c>
    </row>
    <row r="112" spans="1:8" ht="22.5" customHeight="1">
      <c r="A112" s="23"/>
      <c r="B112" s="34"/>
      <c r="C112" s="21"/>
      <c r="D112" s="24"/>
      <c r="E112" s="24"/>
      <c r="F112" s="25"/>
      <c r="G112" s="57">
        <f t="shared" si="6"/>
        <v>0</v>
      </c>
      <c r="H112" s="58">
        <f t="shared" si="7"/>
        <v>9608.7800000000007</v>
      </c>
    </row>
    <row r="113" spans="1:8" ht="22.5" customHeight="1">
      <c r="A113" s="23"/>
      <c r="B113" s="34"/>
      <c r="C113" s="21"/>
      <c r="D113" s="24"/>
      <c r="E113" s="24"/>
      <c r="F113" s="25"/>
      <c r="G113" s="57">
        <f t="shared" si="6"/>
        <v>0</v>
      </c>
      <c r="H113" s="58">
        <f t="shared" si="7"/>
        <v>9608.7800000000007</v>
      </c>
    </row>
    <row r="114" spans="1:8" ht="22.5" customHeight="1">
      <c r="A114" s="23"/>
      <c r="B114" s="34"/>
      <c r="C114" s="21"/>
      <c r="D114" s="24"/>
      <c r="E114" s="24"/>
      <c r="F114" s="25"/>
      <c r="G114" s="57">
        <f t="shared" si="6"/>
        <v>0</v>
      </c>
      <c r="H114" s="58">
        <f t="shared" si="7"/>
        <v>9608.7800000000007</v>
      </c>
    </row>
    <row r="115" spans="1:8" ht="22.5" customHeight="1">
      <c r="A115" s="23"/>
      <c r="B115" s="34"/>
      <c r="C115" s="21"/>
      <c r="D115" s="24"/>
      <c r="E115" s="24"/>
      <c r="F115" s="25"/>
      <c r="G115" s="57">
        <f t="shared" si="6"/>
        <v>0</v>
      </c>
      <c r="H115" s="58">
        <f t="shared" si="7"/>
        <v>9608.7800000000007</v>
      </c>
    </row>
    <row r="116" spans="1:8" ht="22.5" customHeight="1">
      <c r="A116" s="23"/>
      <c r="B116" s="34"/>
      <c r="C116" s="21"/>
      <c r="D116" s="24"/>
      <c r="E116" s="24"/>
      <c r="F116" s="25"/>
      <c r="G116" s="57">
        <f t="shared" si="6"/>
        <v>0</v>
      </c>
      <c r="H116" s="58">
        <f t="shared" si="7"/>
        <v>9608.7800000000007</v>
      </c>
    </row>
    <row r="117" spans="1:8" ht="22.5" customHeight="1">
      <c r="A117" s="23"/>
      <c r="B117" s="34"/>
      <c r="C117" s="21"/>
      <c r="D117" s="24"/>
      <c r="E117" s="24"/>
      <c r="F117" s="25"/>
      <c r="G117" s="57">
        <f t="shared" si="6"/>
        <v>0</v>
      </c>
      <c r="H117" s="58">
        <f t="shared" si="7"/>
        <v>9608.7800000000007</v>
      </c>
    </row>
    <row r="118" spans="1:8" ht="22.5" customHeight="1">
      <c r="A118" s="23"/>
      <c r="B118" s="34"/>
      <c r="C118" s="21"/>
      <c r="D118" s="24"/>
      <c r="E118" s="24"/>
      <c r="F118" s="25"/>
      <c r="G118" s="57">
        <f t="shared" si="6"/>
        <v>0</v>
      </c>
      <c r="H118" s="58">
        <f t="shared" si="7"/>
        <v>9608.7800000000007</v>
      </c>
    </row>
    <row r="119" spans="1:8" ht="22.5" customHeight="1">
      <c r="A119" s="23"/>
      <c r="B119" s="34"/>
      <c r="C119" s="21"/>
      <c r="D119" s="24"/>
      <c r="E119" s="24"/>
      <c r="F119" s="25"/>
      <c r="G119" s="57">
        <f t="shared" si="6"/>
        <v>0</v>
      </c>
      <c r="H119" s="58">
        <f t="shared" si="7"/>
        <v>9608.7800000000007</v>
      </c>
    </row>
    <row r="120" spans="1:8" ht="22.5" customHeight="1">
      <c r="A120" s="23"/>
      <c r="B120" s="34"/>
      <c r="C120" s="21"/>
      <c r="D120" s="24"/>
      <c r="E120" s="24"/>
      <c r="F120" s="25"/>
      <c r="G120" s="57">
        <f t="shared" si="6"/>
        <v>0</v>
      </c>
      <c r="H120" s="58">
        <f t="shared" si="7"/>
        <v>9608.7800000000007</v>
      </c>
    </row>
    <row r="121" spans="1:8" ht="22.5" customHeight="1">
      <c r="A121" s="23"/>
      <c r="B121" s="34"/>
      <c r="C121" s="21"/>
      <c r="D121" s="24"/>
      <c r="E121" s="24"/>
      <c r="F121" s="25"/>
      <c r="G121" s="57">
        <f t="shared" si="6"/>
        <v>0</v>
      </c>
      <c r="H121" s="58">
        <f t="shared" si="7"/>
        <v>9608.7800000000007</v>
      </c>
    </row>
    <row r="122" spans="1:8" ht="22.5" customHeight="1">
      <c r="A122" s="23"/>
      <c r="B122" s="34"/>
      <c r="C122" s="21"/>
      <c r="D122" s="24"/>
      <c r="E122" s="24"/>
      <c r="F122" s="25"/>
      <c r="G122" s="57">
        <f t="shared" si="6"/>
        <v>0</v>
      </c>
      <c r="H122" s="58">
        <f t="shared" si="7"/>
        <v>9608.7800000000007</v>
      </c>
    </row>
    <row r="123" spans="1:8" ht="22.5" customHeight="1">
      <c r="A123" s="23"/>
      <c r="B123" s="34"/>
      <c r="C123" s="21"/>
      <c r="D123" s="24"/>
      <c r="E123" s="24"/>
      <c r="F123" s="25"/>
      <c r="G123" s="57">
        <f t="shared" si="6"/>
        <v>0</v>
      </c>
      <c r="H123" s="58">
        <f t="shared" si="7"/>
        <v>9608.7800000000007</v>
      </c>
    </row>
    <row r="124" spans="1:8" ht="22.5" customHeight="1">
      <c r="A124" s="23"/>
      <c r="B124" s="34"/>
      <c r="C124" s="21"/>
      <c r="D124" s="24"/>
      <c r="E124" s="24"/>
      <c r="F124" s="25"/>
      <c r="G124" s="57">
        <f t="shared" si="6"/>
        <v>0</v>
      </c>
      <c r="H124" s="58">
        <f t="shared" si="7"/>
        <v>9608.7800000000007</v>
      </c>
    </row>
    <row r="125" spans="1:8" ht="22.5" customHeight="1">
      <c r="A125" s="23"/>
      <c r="B125" s="34"/>
      <c r="C125" s="21"/>
      <c r="D125" s="24"/>
      <c r="E125" s="24"/>
      <c r="F125" s="25"/>
      <c r="G125" s="57">
        <f t="shared" si="6"/>
        <v>0</v>
      </c>
      <c r="H125" s="58">
        <f t="shared" si="7"/>
        <v>9608.7800000000007</v>
      </c>
    </row>
    <row r="126" spans="1:8" ht="22.5" customHeight="1">
      <c r="A126" s="23"/>
      <c r="B126" s="34"/>
      <c r="C126" s="21"/>
      <c r="D126" s="24"/>
      <c r="E126" s="24"/>
      <c r="F126" s="25"/>
      <c r="G126" s="57">
        <f t="shared" si="6"/>
        <v>0</v>
      </c>
      <c r="H126" s="58">
        <f t="shared" si="7"/>
        <v>9608.7800000000007</v>
      </c>
    </row>
    <row r="127" spans="1:8" ht="22.5" customHeight="1">
      <c r="A127" s="23"/>
      <c r="B127" s="34"/>
      <c r="C127" s="21"/>
      <c r="D127" s="24"/>
      <c r="E127" s="24"/>
      <c r="F127" s="25"/>
      <c r="G127" s="57">
        <f t="shared" si="6"/>
        <v>0</v>
      </c>
      <c r="H127" s="58">
        <f t="shared" si="7"/>
        <v>9608.7800000000007</v>
      </c>
    </row>
    <row r="128" spans="1:8" ht="22.5" customHeight="1">
      <c r="A128" s="23"/>
      <c r="B128" s="34"/>
      <c r="C128" s="21"/>
      <c r="D128" s="24"/>
      <c r="E128" s="24"/>
      <c r="F128" s="25"/>
      <c r="G128" s="57">
        <f t="shared" si="6"/>
        <v>0</v>
      </c>
      <c r="H128" s="58">
        <f t="shared" si="7"/>
        <v>9608.7800000000007</v>
      </c>
    </row>
    <row r="129" spans="1:8" ht="22.5" customHeight="1">
      <c r="A129" s="23"/>
      <c r="B129" s="34"/>
      <c r="C129" s="21"/>
      <c r="D129" s="24"/>
      <c r="E129" s="24"/>
      <c r="F129" s="25"/>
      <c r="G129" s="57">
        <f t="shared" si="6"/>
        <v>0</v>
      </c>
      <c r="H129" s="58">
        <f t="shared" si="7"/>
        <v>9608.7800000000007</v>
      </c>
    </row>
    <row r="130" spans="1:8" ht="22.5" customHeight="1">
      <c r="A130" s="23"/>
      <c r="B130" s="34"/>
      <c r="C130" s="21"/>
      <c r="D130" s="24"/>
      <c r="E130" s="24"/>
      <c r="F130" s="25"/>
      <c r="G130" s="57">
        <f t="shared" si="6"/>
        <v>0</v>
      </c>
      <c r="H130" s="58">
        <f t="shared" si="7"/>
        <v>9608.7800000000007</v>
      </c>
    </row>
    <row r="131" spans="1:8" ht="22.5" customHeight="1">
      <c r="A131" s="23"/>
      <c r="B131" s="34"/>
      <c r="C131" s="21"/>
      <c r="D131" s="24"/>
      <c r="E131" s="24"/>
      <c r="F131" s="25"/>
      <c r="G131" s="57">
        <f t="shared" si="6"/>
        <v>0</v>
      </c>
      <c r="H131" s="58">
        <f t="shared" si="7"/>
        <v>9608.7800000000007</v>
      </c>
    </row>
    <row r="132" spans="1:8" ht="22.5" customHeight="1">
      <c r="A132" s="23"/>
      <c r="B132" s="34"/>
      <c r="C132" s="21"/>
      <c r="D132" s="24"/>
      <c r="E132" s="24"/>
      <c r="F132" s="25"/>
      <c r="G132" s="57">
        <f t="shared" si="6"/>
        <v>0</v>
      </c>
      <c r="H132" s="58">
        <f t="shared" si="7"/>
        <v>9608.7800000000007</v>
      </c>
    </row>
    <row r="133" spans="1:8" ht="22.5" customHeight="1">
      <c r="A133" s="23"/>
      <c r="B133" s="34"/>
      <c r="C133" s="21"/>
      <c r="D133" s="24"/>
      <c r="E133" s="24"/>
      <c r="F133" s="25"/>
      <c r="G133" s="57">
        <f t="shared" si="6"/>
        <v>0</v>
      </c>
      <c r="H133" s="58">
        <f t="shared" si="7"/>
        <v>9608.7800000000007</v>
      </c>
    </row>
    <row r="134" spans="1:8" ht="22.5" customHeight="1">
      <c r="A134" s="23"/>
      <c r="B134" s="34"/>
      <c r="C134" s="21"/>
      <c r="D134" s="24"/>
      <c r="E134" s="24"/>
      <c r="F134" s="25"/>
      <c r="G134" s="57">
        <f t="shared" si="6"/>
        <v>0</v>
      </c>
      <c r="H134" s="58">
        <f t="shared" si="7"/>
        <v>9608.7800000000007</v>
      </c>
    </row>
    <row r="135" spans="1:8" ht="22.5" customHeight="1">
      <c r="A135" s="23"/>
      <c r="B135" s="34"/>
      <c r="C135" s="21"/>
      <c r="D135" s="24"/>
      <c r="E135" s="24"/>
      <c r="F135" s="25"/>
      <c r="G135" s="57">
        <f t="shared" ref="G135:G166" si="8">IF(A135="Despesas",E135*-1,IF(A135="Receitas",E135,0))</f>
        <v>0</v>
      </c>
      <c r="H135" s="58">
        <f t="shared" ref="H135:H166" si="9">H134+G135</f>
        <v>9608.7800000000007</v>
      </c>
    </row>
    <row r="136" spans="1:8" ht="22.5" customHeight="1">
      <c r="A136" s="23"/>
      <c r="B136" s="34"/>
      <c r="C136" s="21"/>
      <c r="D136" s="24"/>
      <c r="E136" s="24"/>
      <c r="F136" s="25"/>
      <c r="G136" s="57">
        <f t="shared" si="8"/>
        <v>0</v>
      </c>
      <c r="H136" s="58">
        <f t="shared" si="9"/>
        <v>9608.7800000000007</v>
      </c>
    </row>
    <row r="137" spans="1:8" ht="22.5" customHeight="1">
      <c r="A137" s="23"/>
      <c r="B137" s="34"/>
      <c r="C137" s="21"/>
      <c r="D137" s="24"/>
      <c r="E137" s="24"/>
      <c r="F137" s="25"/>
      <c r="G137" s="57">
        <f t="shared" si="8"/>
        <v>0</v>
      </c>
      <c r="H137" s="58">
        <f t="shared" si="9"/>
        <v>9608.7800000000007</v>
      </c>
    </row>
    <row r="138" spans="1:8" ht="22.5" customHeight="1">
      <c r="A138" s="23"/>
      <c r="B138" s="34"/>
      <c r="C138" s="21"/>
      <c r="D138" s="24"/>
      <c r="E138" s="24"/>
      <c r="F138" s="25"/>
      <c r="G138" s="57">
        <f t="shared" si="8"/>
        <v>0</v>
      </c>
      <c r="H138" s="58">
        <f t="shared" si="9"/>
        <v>9608.7800000000007</v>
      </c>
    </row>
    <row r="139" spans="1:8" ht="22.5" customHeight="1">
      <c r="A139" s="23"/>
      <c r="B139" s="34"/>
      <c r="C139" s="21"/>
      <c r="D139" s="24"/>
      <c r="E139" s="24"/>
      <c r="F139" s="25"/>
      <c r="G139" s="57">
        <f t="shared" si="8"/>
        <v>0</v>
      </c>
      <c r="H139" s="58">
        <f t="shared" si="9"/>
        <v>9608.7800000000007</v>
      </c>
    </row>
    <row r="140" spans="1:8" ht="22.5" customHeight="1">
      <c r="A140" s="23"/>
      <c r="B140" s="34"/>
      <c r="C140" s="21"/>
      <c r="D140" s="24"/>
      <c r="E140" s="24"/>
      <c r="F140" s="25"/>
      <c r="G140" s="57">
        <f t="shared" si="8"/>
        <v>0</v>
      </c>
      <c r="H140" s="58">
        <f t="shared" si="9"/>
        <v>9608.7800000000007</v>
      </c>
    </row>
    <row r="141" spans="1:8" ht="22.5" customHeight="1">
      <c r="A141" s="23"/>
      <c r="B141" s="34"/>
      <c r="C141" s="21"/>
      <c r="D141" s="24"/>
      <c r="E141" s="24"/>
      <c r="F141" s="25"/>
      <c r="G141" s="57">
        <f t="shared" si="8"/>
        <v>0</v>
      </c>
      <c r="H141" s="58">
        <f t="shared" si="9"/>
        <v>9608.7800000000007</v>
      </c>
    </row>
    <row r="142" spans="1:8" ht="22.5" customHeight="1">
      <c r="A142" s="23"/>
      <c r="B142" s="34"/>
      <c r="C142" s="21"/>
      <c r="D142" s="24"/>
      <c r="E142" s="24"/>
      <c r="F142" s="25"/>
      <c r="G142" s="57">
        <f t="shared" si="8"/>
        <v>0</v>
      </c>
      <c r="H142" s="58">
        <f t="shared" si="9"/>
        <v>9608.7800000000007</v>
      </c>
    </row>
    <row r="143" spans="1:8" ht="22.5" customHeight="1">
      <c r="A143" s="23"/>
      <c r="B143" s="34"/>
      <c r="C143" s="21"/>
      <c r="D143" s="24"/>
      <c r="E143" s="24"/>
      <c r="F143" s="25"/>
      <c r="G143" s="57">
        <f t="shared" si="8"/>
        <v>0</v>
      </c>
      <c r="H143" s="58">
        <f t="shared" ref="H143:H206" si="10">H142+G143</f>
        <v>9608.7800000000007</v>
      </c>
    </row>
    <row r="144" spans="1:8" ht="22.5" customHeight="1">
      <c r="A144" s="23"/>
      <c r="B144" s="34"/>
      <c r="C144" s="21"/>
      <c r="D144" s="24"/>
      <c r="E144" s="24"/>
      <c r="F144" s="25"/>
      <c r="G144" s="57">
        <f t="shared" si="8"/>
        <v>0</v>
      </c>
      <c r="H144" s="58">
        <f t="shared" si="10"/>
        <v>9608.7800000000007</v>
      </c>
    </row>
    <row r="145" spans="1:8" ht="22.5" customHeight="1">
      <c r="A145" s="23"/>
      <c r="B145" s="34"/>
      <c r="C145" s="21"/>
      <c r="D145" s="24"/>
      <c r="E145" s="24"/>
      <c r="F145" s="25"/>
      <c r="G145" s="57">
        <f t="shared" si="8"/>
        <v>0</v>
      </c>
      <c r="H145" s="58">
        <f t="shared" si="10"/>
        <v>9608.7800000000007</v>
      </c>
    </row>
    <row r="146" spans="1:8" ht="22.5" customHeight="1">
      <c r="A146" s="23"/>
      <c r="B146" s="34"/>
      <c r="C146" s="21"/>
      <c r="D146" s="24"/>
      <c r="E146" s="24"/>
      <c r="F146" s="25"/>
      <c r="G146" s="57">
        <f t="shared" si="8"/>
        <v>0</v>
      </c>
      <c r="H146" s="58">
        <f t="shared" si="10"/>
        <v>9608.7800000000007</v>
      </c>
    </row>
    <row r="147" spans="1:8" ht="22.5" customHeight="1">
      <c r="A147" s="23"/>
      <c r="B147" s="34"/>
      <c r="C147" s="21"/>
      <c r="D147" s="24"/>
      <c r="E147" s="24"/>
      <c r="F147" s="25"/>
      <c r="G147" s="57">
        <f t="shared" si="8"/>
        <v>0</v>
      </c>
      <c r="H147" s="58">
        <f t="shared" si="10"/>
        <v>9608.7800000000007</v>
      </c>
    </row>
    <row r="148" spans="1:8" ht="22.5" customHeight="1">
      <c r="A148" s="23"/>
      <c r="B148" s="34"/>
      <c r="C148" s="21"/>
      <c r="D148" s="24"/>
      <c r="E148" s="24"/>
      <c r="F148" s="25"/>
      <c r="G148" s="57">
        <f t="shared" si="8"/>
        <v>0</v>
      </c>
      <c r="H148" s="58">
        <f t="shared" si="10"/>
        <v>9608.7800000000007</v>
      </c>
    </row>
    <row r="149" spans="1:8" ht="22.5" customHeight="1">
      <c r="A149" s="23"/>
      <c r="B149" s="34"/>
      <c r="C149" s="21"/>
      <c r="D149" s="24"/>
      <c r="E149" s="24"/>
      <c r="F149" s="25"/>
      <c r="G149" s="57">
        <f t="shared" si="8"/>
        <v>0</v>
      </c>
      <c r="H149" s="58">
        <f t="shared" si="10"/>
        <v>9608.7800000000007</v>
      </c>
    </row>
    <row r="150" spans="1:8" ht="22.5" customHeight="1">
      <c r="A150" s="23"/>
      <c r="B150" s="34"/>
      <c r="C150" s="21"/>
      <c r="D150" s="24"/>
      <c r="E150" s="24"/>
      <c r="F150" s="25"/>
      <c r="G150" s="57">
        <f t="shared" si="8"/>
        <v>0</v>
      </c>
      <c r="H150" s="58">
        <f t="shared" si="10"/>
        <v>9608.7800000000007</v>
      </c>
    </row>
    <row r="151" spans="1:8" ht="22.5" customHeight="1">
      <c r="A151" s="23"/>
      <c r="B151" s="34"/>
      <c r="C151" s="21"/>
      <c r="D151" s="24"/>
      <c r="E151" s="24"/>
      <c r="F151" s="25"/>
      <c r="G151" s="57">
        <f t="shared" si="8"/>
        <v>0</v>
      </c>
      <c r="H151" s="58">
        <f t="shared" si="10"/>
        <v>9608.7800000000007</v>
      </c>
    </row>
    <row r="152" spans="1:8" ht="22.5" customHeight="1">
      <c r="A152" s="23"/>
      <c r="B152" s="34"/>
      <c r="C152" s="21"/>
      <c r="D152" s="24"/>
      <c r="E152" s="24"/>
      <c r="F152" s="25"/>
      <c r="G152" s="57">
        <f t="shared" si="8"/>
        <v>0</v>
      </c>
      <c r="H152" s="58">
        <f t="shared" si="10"/>
        <v>9608.7800000000007</v>
      </c>
    </row>
    <row r="153" spans="1:8" ht="22.5" customHeight="1">
      <c r="A153" s="23"/>
      <c r="B153" s="34"/>
      <c r="C153" s="21"/>
      <c r="D153" s="24"/>
      <c r="E153" s="24"/>
      <c r="F153" s="25"/>
      <c r="G153" s="57">
        <f t="shared" si="8"/>
        <v>0</v>
      </c>
      <c r="H153" s="58">
        <f t="shared" si="10"/>
        <v>9608.7800000000007</v>
      </c>
    </row>
    <row r="154" spans="1:8" ht="22.5" customHeight="1">
      <c r="A154" s="23"/>
      <c r="B154" s="34"/>
      <c r="C154" s="21"/>
      <c r="D154" s="24"/>
      <c r="E154" s="24"/>
      <c r="F154" s="25"/>
      <c r="G154" s="57">
        <f t="shared" si="8"/>
        <v>0</v>
      </c>
      <c r="H154" s="58">
        <f t="shared" si="10"/>
        <v>9608.7800000000007</v>
      </c>
    </row>
    <row r="155" spans="1:8" ht="22.5" customHeight="1">
      <c r="A155" s="23"/>
      <c r="B155" s="34"/>
      <c r="C155" s="21"/>
      <c r="D155" s="24"/>
      <c r="E155" s="24"/>
      <c r="F155" s="25"/>
      <c r="G155" s="57">
        <f t="shared" si="8"/>
        <v>0</v>
      </c>
      <c r="H155" s="58">
        <f t="shared" si="10"/>
        <v>9608.7800000000007</v>
      </c>
    </row>
    <row r="156" spans="1:8" ht="22.5" customHeight="1">
      <c r="A156" s="23"/>
      <c r="B156" s="34"/>
      <c r="C156" s="21"/>
      <c r="D156" s="24"/>
      <c r="E156" s="24"/>
      <c r="F156" s="25"/>
      <c r="G156" s="57">
        <f t="shared" si="8"/>
        <v>0</v>
      </c>
      <c r="H156" s="58">
        <f t="shared" si="10"/>
        <v>9608.7800000000007</v>
      </c>
    </row>
    <row r="157" spans="1:8" ht="22.5" customHeight="1">
      <c r="A157" s="23"/>
      <c r="B157" s="34"/>
      <c r="C157" s="21"/>
      <c r="D157" s="24"/>
      <c r="E157" s="24"/>
      <c r="F157" s="25"/>
      <c r="G157" s="57">
        <f t="shared" si="8"/>
        <v>0</v>
      </c>
      <c r="H157" s="58">
        <f t="shared" si="10"/>
        <v>9608.7800000000007</v>
      </c>
    </row>
    <row r="158" spans="1:8" ht="22.5" customHeight="1">
      <c r="A158" s="23"/>
      <c r="B158" s="34"/>
      <c r="C158" s="21"/>
      <c r="D158" s="24"/>
      <c r="E158" s="24"/>
      <c r="F158" s="25"/>
      <c r="G158" s="57">
        <f t="shared" si="8"/>
        <v>0</v>
      </c>
      <c r="H158" s="58">
        <f t="shared" si="10"/>
        <v>9608.7800000000007</v>
      </c>
    </row>
    <row r="159" spans="1:8" ht="22.5" customHeight="1">
      <c r="A159" s="23"/>
      <c r="B159" s="34"/>
      <c r="C159" s="21"/>
      <c r="D159" s="24"/>
      <c r="E159" s="24"/>
      <c r="F159" s="25"/>
      <c r="G159" s="57">
        <f t="shared" si="8"/>
        <v>0</v>
      </c>
      <c r="H159" s="58">
        <f t="shared" si="10"/>
        <v>9608.7800000000007</v>
      </c>
    </row>
    <row r="160" spans="1:8" ht="22.5" customHeight="1">
      <c r="A160" s="23"/>
      <c r="B160" s="34"/>
      <c r="C160" s="21"/>
      <c r="D160" s="24"/>
      <c r="E160" s="24"/>
      <c r="F160" s="25"/>
      <c r="G160" s="57">
        <f t="shared" si="8"/>
        <v>0</v>
      </c>
      <c r="H160" s="58">
        <f t="shared" si="10"/>
        <v>9608.7800000000007</v>
      </c>
    </row>
    <row r="161" spans="1:8" ht="22.5" customHeight="1">
      <c r="A161" s="23"/>
      <c r="B161" s="34"/>
      <c r="C161" s="21"/>
      <c r="D161" s="24"/>
      <c r="E161" s="24"/>
      <c r="F161" s="25"/>
      <c r="G161" s="57">
        <f t="shared" si="8"/>
        <v>0</v>
      </c>
      <c r="H161" s="58">
        <f t="shared" si="10"/>
        <v>9608.7800000000007</v>
      </c>
    </row>
    <row r="162" spans="1:8" ht="22.5" customHeight="1">
      <c r="A162" s="23"/>
      <c r="B162" s="34"/>
      <c r="C162" s="21"/>
      <c r="D162" s="24"/>
      <c r="E162" s="24"/>
      <c r="F162" s="25"/>
      <c r="G162" s="57">
        <f t="shared" si="8"/>
        <v>0</v>
      </c>
      <c r="H162" s="58">
        <f t="shared" si="10"/>
        <v>9608.7800000000007</v>
      </c>
    </row>
    <row r="163" spans="1:8" ht="22.5" customHeight="1">
      <c r="A163" s="23"/>
      <c r="B163" s="34"/>
      <c r="C163" s="21"/>
      <c r="D163" s="24"/>
      <c r="E163" s="24"/>
      <c r="F163" s="25"/>
      <c r="G163" s="57">
        <f t="shared" si="8"/>
        <v>0</v>
      </c>
      <c r="H163" s="58">
        <f t="shared" si="10"/>
        <v>9608.7800000000007</v>
      </c>
    </row>
    <row r="164" spans="1:8" ht="22.5" customHeight="1">
      <c r="A164" s="23"/>
      <c r="B164" s="34"/>
      <c r="C164" s="21"/>
      <c r="D164" s="24"/>
      <c r="E164" s="24"/>
      <c r="F164" s="25"/>
      <c r="G164" s="57">
        <f t="shared" si="8"/>
        <v>0</v>
      </c>
      <c r="H164" s="58">
        <f t="shared" si="10"/>
        <v>9608.7800000000007</v>
      </c>
    </row>
    <row r="165" spans="1:8" ht="22.5" customHeight="1">
      <c r="A165" s="23"/>
      <c r="B165" s="34"/>
      <c r="C165" s="21"/>
      <c r="D165" s="24"/>
      <c r="E165" s="24"/>
      <c r="F165" s="25"/>
      <c r="G165" s="57">
        <f t="shared" si="8"/>
        <v>0</v>
      </c>
      <c r="H165" s="58">
        <f t="shared" si="10"/>
        <v>9608.7800000000007</v>
      </c>
    </row>
    <row r="166" spans="1:8" ht="22.5" customHeight="1">
      <c r="A166" s="23"/>
      <c r="B166" s="34"/>
      <c r="C166" s="21"/>
      <c r="D166" s="24"/>
      <c r="E166" s="24"/>
      <c r="F166" s="25"/>
      <c r="G166" s="57">
        <f t="shared" si="8"/>
        <v>0</v>
      </c>
      <c r="H166" s="58">
        <f t="shared" si="10"/>
        <v>9608.7800000000007</v>
      </c>
    </row>
    <row r="167" spans="1:8" ht="22.5" customHeight="1">
      <c r="A167" s="23"/>
      <c r="B167" s="34"/>
      <c r="C167" s="21"/>
      <c r="D167" s="24"/>
      <c r="E167" s="24"/>
      <c r="F167" s="25"/>
      <c r="G167" s="57">
        <f t="shared" ref="G167:G198" si="11">IF(A167="Despesas",E167*-1,IF(A167="Receitas",E167,0))</f>
        <v>0</v>
      </c>
      <c r="H167" s="58">
        <f t="shared" si="10"/>
        <v>9608.7800000000007</v>
      </c>
    </row>
    <row r="168" spans="1:8" ht="22.5" customHeight="1">
      <c r="A168" s="23"/>
      <c r="B168" s="34"/>
      <c r="C168" s="21"/>
      <c r="D168" s="24"/>
      <c r="E168" s="24"/>
      <c r="F168" s="25"/>
      <c r="G168" s="57">
        <f t="shared" si="11"/>
        <v>0</v>
      </c>
      <c r="H168" s="58">
        <f t="shared" si="10"/>
        <v>9608.7800000000007</v>
      </c>
    </row>
    <row r="169" spans="1:8" ht="22.5" customHeight="1">
      <c r="A169" s="23"/>
      <c r="B169" s="34"/>
      <c r="C169" s="21"/>
      <c r="D169" s="24"/>
      <c r="E169" s="24"/>
      <c r="F169" s="25"/>
      <c r="G169" s="57">
        <f t="shared" si="11"/>
        <v>0</v>
      </c>
      <c r="H169" s="58">
        <f t="shared" si="10"/>
        <v>9608.7800000000007</v>
      </c>
    </row>
    <row r="170" spans="1:8" ht="22.5" customHeight="1">
      <c r="A170" s="23"/>
      <c r="B170" s="34"/>
      <c r="C170" s="21"/>
      <c r="D170" s="24"/>
      <c r="E170" s="24"/>
      <c r="F170" s="25"/>
      <c r="G170" s="57">
        <f t="shared" si="11"/>
        <v>0</v>
      </c>
      <c r="H170" s="58">
        <f t="shared" si="10"/>
        <v>9608.7800000000007</v>
      </c>
    </row>
    <row r="171" spans="1:8" ht="22.5" customHeight="1">
      <c r="A171" s="23"/>
      <c r="B171" s="34"/>
      <c r="C171" s="21"/>
      <c r="D171" s="24"/>
      <c r="E171" s="24"/>
      <c r="F171" s="25"/>
      <c r="G171" s="57">
        <f t="shared" si="11"/>
        <v>0</v>
      </c>
      <c r="H171" s="58">
        <f t="shared" si="10"/>
        <v>9608.7800000000007</v>
      </c>
    </row>
    <row r="172" spans="1:8" ht="22.5" customHeight="1">
      <c r="A172" s="23"/>
      <c r="B172" s="34"/>
      <c r="C172" s="21"/>
      <c r="D172" s="24"/>
      <c r="E172" s="24"/>
      <c r="F172" s="25"/>
      <c r="G172" s="57">
        <f t="shared" si="11"/>
        <v>0</v>
      </c>
      <c r="H172" s="58">
        <f t="shared" si="10"/>
        <v>9608.7800000000007</v>
      </c>
    </row>
    <row r="173" spans="1:8" ht="22.5" customHeight="1">
      <c r="A173" s="23"/>
      <c r="B173" s="34"/>
      <c r="C173" s="21"/>
      <c r="D173" s="24"/>
      <c r="E173" s="24"/>
      <c r="F173" s="25"/>
      <c r="G173" s="57">
        <f t="shared" si="11"/>
        <v>0</v>
      </c>
      <c r="H173" s="58">
        <f t="shared" si="10"/>
        <v>9608.7800000000007</v>
      </c>
    </row>
    <row r="174" spans="1:8" ht="22.5" customHeight="1">
      <c r="A174" s="23"/>
      <c r="B174" s="34"/>
      <c r="C174" s="21"/>
      <c r="D174" s="24"/>
      <c r="E174" s="24"/>
      <c r="F174" s="25"/>
      <c r="G174" s="57">
        <f t="shared" si="11"/>
        <v>0</v>
      </c>
      <c r="H174" s="58">
        <f t="shared" si="10"/>
        <v>9608.7800000000007</v>
      </c>
    </row>
    <row r="175" spans="1:8" ht="22.5" customHeight="1">
      <c r="A175" s="23"/>
      <c r="B175" s="34"/>
      <c r="C175" s="21"/>
      <c r="D175" s="24"/>
      <c r="E175" s="24"/>
      <c r="F175" s="25"/>
      <c r="G175" s="57">
        <f t="shared" si="11"/>
        <v>0</v>
      </c>
      <c r="H175" s="58">
        <f t="shared" si="10"/>
        <v>9608.7800000000007</v>
      </c>
    </row>
    <row r="176" spans="1:8" ht="22.5" customHeight="1">
      <c r="A176" s="23"/>
      <c r="B176" s="34"/>
      <c r="C176" s="21"/>
      <c r="D176" s="24"/>
      <c r="E176" s="24"/>
      <c r="F176" s="25"/>
      <c r="G176" s="57">
        <f t="shared" si="11"/>
        <v>0</v>
      </c>
      <c r="H176" s="58">
        <f t="shared" si="10"/>
        <v>9608.7800000000007</v>
      </c>
    </row>
    <row r="177" spans="1:8" ht="22.5" customHeight="1">
      <c r="A177" s="23"/>
      <c r="B177" s="34"/>
      <c r="C177" s="21"/>
      <c r="D177" s="24"/>
      <c r="E177" s="24"/>
      <c r="F177" s="25"/>
      <c r="G177" s="57">
        <f t="shared" si="11"/>
        <v>0</v>
      </c>
      <c r="H177" s="58">
        <f t="shared" si="10"/>
        <v>9608.7800000000007</v>
      </c>
    </row>
    <row r="178" spans="1:8" ht="22.5" customHeight="1">
      <c r="A178" s="23"/>
      <c r="B178" s="34"/>
      <c r="C178" s="21"/>
      <c r="D178" s="24"/>
      <c r="E178" s="24"/>
      <c r="F178" s="25"/>
      <c r="G178" s="57">
        <f t="shared" si="11"/>
        <v>0</v>
      </c>
      <c r="H178" s="58">
        <f t="shared" si="10"/>
        <v>9608.7800000000007</v>
      </c>
    </row>
    <row r="179" spans="1:8" ht="22.5" customHeight="1">
      <c r="A179" s="23"/>
      <c r="B179" s="34"/>
      <c r="C179" s="21"/>
      <c r="D179" s="24"/>
      <c r="E179" s="24"/>
      <c r="F179" s="25"/>
      <c r="G179" s="57">
        <f t="shared" si="11"/>
        <v>0</v>
      </c>
      <c r="H179" s="58">
        <f t="shared" si="10"/>
        <v>9608.7800000000007</v>
      </c>
    </row>
    <row r="180" spans="1:8" ht="22.5" customHeight="1">
      <c r="A180" s="23"/>
      <c r="B180" s="34"/>
      <c r="C180" s="21"/>
      <c r="D180" s="24"/>
      <c r="E180" s="24"/>
      <c r="F180" s="25"/>
      <c r="G180" s="57">
        <f t="shared" si="11"/>
        <v>0</v>
      </c>
      <c r="H180" s="58">
        <f t="shared" si="10"/>
        <v>9608.7800000000007</v>
      </c>
    </row>
    <row r="181" spans="1:8" ht="22.5" customHeight="1">
      <c r="A181" s="23"/>
      <c r="B181" s="34"/>
      <c r="C181" s="21"/>
      <c r="D181" s="24"/>
      <c r="E181" s="24"/>
      <c r="F181" s="25"/>
      <c r="G181" s="57">
        <f t="shared" si="11"/>
        <v>0</v>
      </c>
      <c r="H181" s="58">
        <f t="shared" si="10"/>
        <v>9608.7800000000007</v>
      </c>
    </row>
    <row r="182" spans="1:8" ht="22.5" customHeight="1">
      <c r="A182" s="23"/>
      <c r="B182" s="34"/>
      <c r="C182" s="21"/>
      <c r="D182" s="24"/>
      <c r="E182" s="24"/>
      <c r="F182" s="25"/>
      <c r="G182" s="57">
        <f t="shared" si="11"/>
        <v>0</v>
      </c>
      <c r="H182" s="58">
        <f t="shared" si="10"/>
        <v>9608.7800000000007</v>
      </c>
    </row>
    <row r="183" spans="1:8" ht="22.5" customHeight="1">
      <c r="A183" s="23"/>
      <c r="B183" s="34"/>
      <c r="C183" s="21"/>
      <c r="D183" s="24"/>
      <c r="E183" s="24"/>
      <c r="F183" s="25"/>
      <c r="G183" s="57">
        <f t="shared" si="11"/>
        <v>0</v>
      </c>
      <c r="H183" s="58">
        <f t="shared" si="10"/>
        <v>9608.7800000000007</v>
      </c>
    </row>
    <row r="184" spans="1:8" ht="22.5" customHeight="1">
      <c r="A184" s="23"/>
      <c r="B184" s="34"/>
      <c r="C184" s="21"/>
      <c r="D184" s="24"/>
      <c r="E184" s="24"/>
      <c r="F184" s="25"/>
      <c r="G184" s="57">
        <f t="shared" si="11"/>
        <v>0</v>
      </c>
      <c r="H184" s="58">
        <f t="shared" si="10"/>
        <v>9608.7800000000007</v>
      </c>
    </row>
    <row r="185" spans="1:8" ht="22.5" customHeight="1">
      <c r="A185" s="23"/>
      <c r="B185" s="34"/>
      <c r="C185" s="21"/>
      <c r="D185" s="24"/>
      <c r="E185" s="24"/>
      <c r="F185" s="25"/>
      <c r="G185" s="57">
        <f t="shared" si="11"/>
        <v>0</v>
      </c>
      <c r="H185" s="58">
        <f t="shared" si="10"/>
        <v>9608.7800000000007</v>
      </c>
    </row>
    <row r="186" spans="1:8" ht="22.5" customHeight="1">
      <c r="A186" s="23"/>
      <c r="B186" s="34"/>
      <c r="C186" s="21"/>
      <c r="D186" s="24"/>
      <c r="E186" s="24"/>
      <c r="F186" s="25"/>
      <c r="G186" s="57">
        <f t="shared" si="11"/>
        <v>0</v>
      </c>
      <c r="H186" s="58">
        <f t="shared" si="10"/>
        <v>9608.7800000000007</v>
      </c>
    </row>
    <row r="187" spans="1:8" ht="22.5" customHeight="1">
      <c r="A187" s="23"/>
      <c r="B187" s="34"/>
      <c r="C187" s="21"/>
      <c r="D187" s="24"/>
      <c r="E187" s="24"/>
      <c r="F187" s="25"/>
      <c r="G187" s="57">
        <f t="shared" si="11"/>
        <v>0</v>
      </c>
      <c r="H187" s="58">
        <f t="shared" si="10"/>
        <v>9608.7800000000007</v>
      </c>
    </row>
    <row r="188" spans="1:8" ht="22.5" customHeight="1">
      <c r="A188" s="23"/>
      <c r="B188" s="34"/>
      <c r="C188" s="21"/>
      <c r="D188" s="24"/>
      <c r="E188" s="24"/>
      <c r="F188" s="25"/>
      <c r="G188" s="57">
        <f t="shared" si="11"/>
        <v>0</v>
      </c>
      <c r="H188" s="58">
        <f t="shared" si="10"/>
        <v>9608.7800000000007</v>
      </c>
    </row>
    <row r="189" spans="1:8" ht="22.5" customHeight="1">
      <c r="A189" s="23"/>
      <c r="B189" s="34"/>
      <c r="C189" s="21"/>
      <c r="D189" s="24"/>
      <c r="E189" s="24"/>
      <c r="F189" s="25"/>
      <c r="G189" s="57">
        <f t="shared" si="11"/>
        <v>0</v>
      </c>
      <c r="H189" s="58">
        <f t="shared" si="10"/>
        <v>9608.7800000000007</v>
      </c>
    </row>
    <row r="190" spans="1:8" ht="22.5" customHeight="1">
      <c r="A190" s="23"/>
      <c r="B190" s="34"/>
      <c r="C190" s="21"/>
      <c r="D190" s="24"/>
      <c r="E190" s="24"/>
      <c r="F190" s="25"/>
      <c r="G190" s="57">
        <f t="shared" si="11"/>
        <v>0</v>
      </c>
      <c r="H190" s="58">
        <f t="shared" si="10"/>
        <v>9608.7800000000007</v>
      </c>
    </row>
    <row r="191" spans="1:8" ht="22.5" customHeight="1">
      <c r="A191" s="23"/>
      <c r="B191" s="34"/>
      <c r="C191" s="21"/>
      <c r="D191" s="24"/>
      <c r="E191" s="24"/>
      <c r="F191" s="25"/>
      <c r="G191" s="57">
        <f t="shared" si="11"/>
        <v>0</v>
      </c>
      <c r="H191" s="58">
        <f t="shared" si="10"/>
        <v>9608.7800000000007</v>
      </c>
    </row>
    <row r="192" spans="1:8" ht="22.5" customHeight="1">
      <c r="A192" s="23"/>
      <c r="B192" s="34"/>
      <c r="C192" s="21"/>
      <c r="D192" s="24"/>
      <c r="E192" s="24"/>
      <c r="F192" s="25"/>
      <c r="G192" s="57">
        <f t="shared" si="11"/>
        <v>0</v>
      </c>
      <c r="H192" s="58">
        <f t="shared" si="10"/>
        <v>9608.7800000000007</v>
      </c>
    </row>
    <row r="193" spans="1:8" ht="22.5" customHeight="1">
      <c r="A193" s="23"/>
      <c r="B193" s="34"/>
      <c r="C193" s="21"/>
      <c r="D193" s="24"/>
      <c r="E193" s="24"/>
      <c r="F193" s="25"/>
      <c r="G193" s="57">
        <f t="shared" si="11"/>
        <v>0</v>
      </c>
      <c r="H193" s="58">
        <f t="shared" si="10"/>
        <v>9608.7800000000007</v>
      </c>
    </row>
    <row r="194" spans="1:8" ht="22.5" customHeight="1">
      <c r="A194" s="23"/>
      <c r="B194" s="34"/>
      <c r="C194" s="21"/>
      <c r="D194" s="24"/>
      <c r="E194" s="24"/>
      <c r="F194" s="25"/>
      <c r="G194" s="57">
        <f t="shared" si="11"/>
        <v>0</v>
      </c>
      <c r="H194" s="58">
        <f t="shared" si="10"/>
        <v>9608.7800000000007</v>
      </c>
    </row>
    <row r="195" spans="1:8" ht="22.5" customHeight="1">
      <c r="A195" s="23"/>
      <c r="B195" s="34"/>
      <c r="C195" s="21"/>
      <c r="D195" s="24"/>
      <c r="E195" s="24"/>
      <c r="F195" s="25"/>
      <c r="G195" s="57">
        <f t="shared" si="11"/>
        <v>0</v>
      </c>
      <c r="H195" s="58">
        <f t="shared" si="10"/>
        <v>9608.7800000000007</v>
      </c>
    </row>
    <row r="196" spans="1:8" ht="22.5" customHeight="1">
      <c r="A196" s="23"/>
      <c r="B196" s="34"/>
      <c r="C196" s="21"/>
      <c r="D196" s="24"/>
      <c r="E196" s="24"/>
      <c r="F196" s="25"/>
      <c r="G196" s="57">
        <f t="shared" si="11"/>
        <v>0</v>
      </c>
      <c r="H196" s="58">
        <f t="shared" si="10"/>
        <v>9608.7800000000007</v>
      </c>
    </row>
    <row r="197" spans="1:8" ht="22.5" customHeight="1">
      <c r="A197" s="23"/>
      <c r="B197" s="34"/>
      <c r="C197" s="21"/>
      <c r="D197" s="24"/>
      <c r="E197" s="24"/>
      <c r="F197" s="25"/>
      <c r="G197" s="57">
        <f t="shared" si="11"/>
        <v>0</v>
      </c>
      <c r="H197" s="58">
        <f t="shared" si="10"/>
        <v>9608.7800000000007</v>
      </c>
    </row>
    <row r="198" spans="1:8" ht="22.5" customHeight="1">
      <c r="A198" s="23"/>
      <c r="B198" s="34"/>
      <c r="C198" s="21"/>
      <c r="D198" s="24"/>
      <c r="E198" s="24"/>
      <c r="F198" s="25"/>
      <c r="G198" s="57">
        <f t="shared" si="11"/>
        <v>0</v>
      </c>
      <c r="H198" s="58">
        <f t="shared" si="10"/>
        <v>9608.7800000000007</v>
      </c>
    </row>
    <row r="199" spans="1:8" ht="22.5" customHeight="1">
      <c r="A199" s="23"/>
      <c r="B199" s="34"/>
      <c r="C199" s="21"/>
      <c r="D199" s="24"/>
      <c r="E199" s="24"/>
      <c r="F199" s="25"/>
      <c r="G199" s="57">
        <f t="shared" ref="G199:G206" si="12">IF(A199="Despesas",E199*-1,IF(A199="Receitas",E199,0))</f>
        <v>0</v>
      </c>
      <c r="H199" s="58">
        <f t="shared" si="10"/>
        <v>9608.7800000000007</v>
      </c>
    </row>
    <row r="200" spans="1:8" ht="22.5" customHeight="1">
      <c r="A200" s="23"/>
      <c r="B200" s="34"/>
      <c r="C200" s="21"/>
      <c r="D200" s="24"/>
      <c r="E200" s="24"/>
      <c r="F200" s="25"/>
      <c r="G200" s="57">
        <f t="shared" si="12"/>
        <v>0</v>
      </c>
      <c r="H200" s="58">
        <f t="shared" si="10"/>
        <v>9608.7800000000007</v>
      </c>
    </row>
    <row r="201" spans="1:8" ht="22.5" customHeight="1">
      <c r="A201" s="23"/>
      <c r="B201" s="34"/>
      <c r="C201" s="21"/>
      <c r="D201" s="24"/>
      <c r="E201" s="24"/>
      <c r="F201" s="25"/>
      <c r="G201" s="57">
        <f t="shared" si="12"/>
        <v>0</v>
      </c>
      <c r="H201" s="58">
        <f t="shared" si="10"/>
        <v>9608.7800000000007</v>
      </c>
    </row>
    <row r="202" spans="1:8" ht="22.5" customHeight="1">
      <c r="A202" s="23"/>
      <c r="B202" s="34"/>
      <c r="C202" s="21"/>
      <c r="D202" s="24"/>
      <c r="E202" s="24"/>
      <c r="F202" s="25"/>
      <c r="G202" s="57">
        <f t="shared" si="12"/>
        <v>0</v>
      </c>
      <c r="H202" s="58">
        <f t="shared" si="10"/>
        <v>9608.7800000000007</v>
      </c>
    </row>
    <row r="203" spans="1:8" ht="22.5" customHeight="1">
      <c r="A203" s="23"/>
      <c r="B203" s="34"/>
      <c r="C203" s="21"/>
      <c r="D203" s="24"/>
      <c r="E203" s="24"/>
      <c r="F203" s="25"/>
      <c r="G203" s="57">
        <f t="shared" si="12"/>
        <v>0</v>
      </c>
      <c r="H203" s="58">
        <f t="shared" si="10"/>
        <v>9608.7800000000007</v>
      </c>
    </row>
    <row r="204" spans="1:8" ht="22.5" customHeight="1">
      <c r="A204" s="23"/>
      <c r="B204" s="34"/>
      <c r="C204" s="21"/>
      <c r="D204" s="24"/>
      <c r="E204" s="24"/>
      <c r="F204" s="25"/>
      <c r="G204" s="57">
        <f t="shared" si="12"/>
        <v>0</v>
      </c>
      <c r="H204" s="58">
        <f t="shared" si="10"/>
        <v>9608.7800000000007</v>
      </c>
    </row>
    <row r="205" spans="1:8" ht="22.5" customHeight="1">
      <c r="A205" s="23"/>
      <c r="B205" s="34"/>
      <c r="C205" s="21"/>
      <c r="D205" s="24"/>
      <c r="E205" s="24"/>
      <c r="F205" s="25"/>
      <c r="G205" s="57">
        <f t="shared" si="12"/>
        <v>0</v>
      </c>
      <c r="H205" s="58">
        <f t="shared" si="10"/>
        <v>9608.7800000000007</v>
      </c>
    </row>
    <row r="206" spans="1:8" ht="22.5" customHeight="1">
      <c r="A206" s="23"/>
      <c r="B206" s="34"/>
      <c r="C206" s="21"/>
      <c r="D206" s="24"/>
      <c r="E206" s="24"/>
      <c r="F206" s="25"/>
      <c r="G206" s="57">
        <f t="shared" si="12"/>
        <v>0</v>
      </c>
      <c r="H206" s="58">
        <f t="shared" si="10"/>
        <v>9608.7800000000007</v>
      </c>
    </row>
    <row r="207" spans="1:8" ht="22.5" customHeight="1">
      <c r="A207" s="54" t="s">
        <v>71</v>
      </c>
      <c r="B207" s="34" t="s">
        <v>72</v>
      </c>
      <c r="C207" s="54" t="s">
        <v>71</v>
      </c>
      <c r="D207" s="54" t="s">
        <v>71</v>
      </c>
      <c r="E207" s="54" t="s">
        <v>71</v>
      </c>
      <c r="F207" s="54" t="s">
        <v>71</v>
      </c>
      <c r="G207" s="59" t="s">
        <v>71</v>
      </c>
      <c r="H207" s="60" t="s">
        <v>72</v>
      </c>
    </row>
  </sheetData>
  <mergeCells count="4">
    <mergeCell ref="A1:A4"/>
    <mergeCell ref="C1:E3"/>
    <mergeCell ref="F1:F3"/>
    <mergeCell ref="H2:H3"/>
  </mergeCells>
  <conditionalFormatting sqref="H7:H207">
    <cfRule type="cellIs" dxfId="4" priority="1" operator="lessThan">
      <formula>0</formula>
    </cfRule>
  </conditionalFormatting>
  <dataValidations count="6">
    <dataValidation type="list" allowBlank="1" sqref="C7:C206" xr:uid="{D17FE053-B6EC-4BEA-96C5-CEB45ED9BDFB}">
      <formula1>Bancos</formula1>
    </dataValidation>
    <dataValidation type="list" allowBlank="1" sqref="B7:B206" xr:uid="{A57EA319-2417-4D7D-BA8C-F259D86B8BB8}">
      <formula1>INDIRECT(A7)</formula1>
    </dataValidation>
    <dataValidation type="list" allowBlank="1" sqref="B207" xr:uid="{3CD984EB-F332-4E69-B4A5-0ECC2B155080}">
      <formula1>INDIRECT($A$7)</formula1>
    </dataValidation>
    <dataValidation type="list" allowBlank="1" sqref="C207:G207 A207 C6" xr:uid="{8D559309-FE61-4987-BC58-0933B45C5BF2}">
      <formula1>#REF!</formula1>
    </dataValidation>
    <dataValidation type="list" allowBlank="1" sqref="A7:A206 A6:B6" xr:uid="{10979DB1-66CF-437B-9E0C-85C85AAD2B0B}">
      <formula1>"Receitas,Despesas"</formula1>
    </dataValidation>
    <dataValidation type="custom" allowBlank="1" showDropDown="1" sqref="F6:F206" xr:uid="{DBD3B1E6-DA70-4C88-9A8A-E7F06652A5AD}">
      <formula1>OR(NOT(ISERROR(DATEVALUE(F6))), AND(ISNUMBER(F6), LEFT(CELL("format", F6))="D"))</formula1>
    </dataValidation>
  </dataValidation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4960-04B8-454B-B386-B35AB97BB165}">
  <sheetPr>
    <outlinePr summaryBelow="0" summaryRight="0"/>
  </sheetPr>
  <dimension ref="A1:J207"/>
  <sheetViews>
    <sheetView showGridLines="0" workbookViewId="0">
      <selection activeCell="C4" sqref="C4"/>
    </sheetView>
  </sheetViews>
  <sheetFormatPr defaultColWidth="12.5703125" defaultRowHeight="15.75" customHeight="1"/>
  <cols>
    <col min="1" max="1" width="9.28515625" style="27" bestFit="1" customWidth="1"/>
    <col min="2" max="2" width="30.85546875" style="27" bestFit="1" customWidth="1"/>
    <col min="3" max="3" width="20.85546875" style="27" bestFit="1" customWidth="1"/>
    <col min="4" max="4" width="13.85546875" style="27" bestFit="1" customWidth="1"/>
    <col min="5" max="5" width="11.7109375" bestFit="1" customWidth="1"/>
    <col min="6" max="6" width="16.28515625" style="27" customWidth="1"/>
    <col min="7" max="7" width="11.7109375" style="27" hidden="1" customWidth="1"/>
    <col min="8" max="8" width="22.5703125" style="33" bestFit="1" customWidth="1"/>
    <col min="9" max="10" width="12.5703125" style="27" hidden="1" customWidth="1"/>
  </cols>
  <sheetData>
    <row r="1" spans="1:8" ht="19.5" customHeight="1">
      <c r="A1" s="70"/>
      <c r="B1" s="13"/>
      <c r="C1" s="74" t="s">
        <v>61</v>
      </c>
      <c r="D1" s="66"/>
      <c r="E1" s="62"/>
      <c r="F1" s="73" t="s">
        <v>44</v>
      </c>
      <c r="G1" s="14"/>
      <c r="H1" s="35" t="s">
        <v>43</v>
      </c>
    </row>
    <row r="2" spans="1:8" ht="12.75" customHeight="1">
      <c r="A2" s="66"/>
      <c r="B2" s="15"/>
      <c r="C2" s="66"/>
      <c r="D2" s="66"/>
      <c r="E2" s="62"/>
      <c r="F2" s="73"/>
      <c r="G2" s="14"/>
      <c r="H2" s="72">
        <f>AGO!H206</f>
        <v>9608.7800000000007</v>
      </c>
    </row>
    <row r="3" spans="1:8" ht="23.25" customHeight="1">
      <c r="A3" s="66"/>
      <c r="B3" s="12"/>
      <c r="C3" s="66"/>
      <c r="D3" s="66"/>
      <c r="E3" s="62"/>
      <c r="F3" s="73"/>
      <c r="G3" s="14"/>
      <c r="H3" s="72"/>
    </row>
    <row r="4" spans="1:8" ht="12.75">
      <c r="A4" s="66"/>
      <c r="B4" s="13"/>
      <c r="C4" s="16"/>
      <c r="D4" s="16"/>
      <c r="E4" s="16"/>
      <c r="F4" s="14"/>
      <c r="G4" s="14"/>
      <c r="H4" s="31"/>
    </row>
    <row r="5" spans="1:8" ht="22.5" customHeight="1">
      <c r="A5" s="28" t="s">
        <v>45</v>
      </c>
      <c r="B5" s="29" t="s">
        <v>46</v>
      </c>
      <c r="C5" s="30" t="s">
        <v>47</v>
      </c>
      <c r="D5" s="29" t="s">
        <v>48</v>
      </c>
      <c r="E5" s="36" t="s">
        <v>49</v>
      </c>
      <c r="F5" s="29" t="s">
        <v>50</v>
      </c>
      <c r="G5" s="32" t="s">
        <v>67</v>
      </c>
      <c r="H5" s="36" t="s">
        <v>51</v>
      </c>
    </row>
    <row r="6" spans="1:8" ht="22.5" customHeight="1">
      <c r="A6" s="26"/>
      <c r="B6" s="26"/>
      <c r="C6" s="26"/>
      <c r="D6" s="26" t="s">
        <v>52</v>
      </c>
      <c r="E6" s="17">
        <f>H2</f>
        <v>9608.7800000000007</v>
      </c>
      <c r="F6" s="18">
        <v>46265</v>
      </c>
      <c r="G6" s="55">
        <f>E6</f>
        <v>9608.7800000000007</v>
      </c>
      <c r="H6" s="56">
        <f>E6</f>
        <v>9608.7800000000007</v>
      </c>
    </row>
    <row r="7" spans="1:8" ht="22.5" customHeight="1">
      <c r="A7" s="34"/>
      <c r="B7" s="34"/>
      <c r="C7" s="21"/>
      <c r="D7" s="22"/>
      <c r="E7" s="22"/>
      <c r="F7" s="19"/>
      <c r="G7" s="57">
        <f t="shared" ref="G7:G38" si="0">IF(A7="Despesas",E7*-1,IF(A7="Receitas",E7,0))</f>
        <v>0</v>
      </c>
      <c r="H7" s="58">
        <f t="shared" ref="H7:H38" si="1">H6+G7</f>
        <v>9608.7800000000007</v>
      </c>
    </row>
    <row r="8" spans="1:8" ht="22.5" customHeight="1">
      <c r="A8" s="34"/>
      <c r="B8" s="34"/>
      <c r="C8" s="21"/>
      <c r="D8" s="22"/>
      <c r="E8" s="22"/>
      <c r="F8" s="20"/>
      <c r="G8" s="57">
        <f t="shared" si="0"/>
        <v>0</v>
      </c>
      <c r="H8" s="58">
        <f t="shared" si="1"/>
        <v>9608.7800000000007</v>
      </c>
    </row>
    <row r="9" spans="1:8" ht="22.5" customHeight="1">
      <c r="A9" s="21"/>
      <c r="B9" s="34"/>
      <c r="C9" s="21"/>
      <c r="D9" s="22"/>
      <c r="E9" s="22"/>
      <c r="F9" s="19"/>
      <c r="G9" s="57">
        <f t="shared" si="0"/>
        <v>0</v>
      </c>
      <c r="H9" s="58">
        <f t="shared" si="1"/>
        <v>9608.7800000000007</v>
      </c>
    </row>
    <row r="10" spans="1:8" ht="22.5" customHeight="1">
      <c r="A10" s="21"/>
      <c r="B10" s="34"/>
      <c r="C10" s="21"/>
      <c r="D10" s="22"/>
      <c r="E10" s="22"/>
      <c r="F10" s="20"/>
      <c r="G10" s="57">
        <f t="shared" si="0"/>
        <v>0</v>
      </c>
      <c r="H10" s="58">
        <f t="shared" si="1"/>
        <v>9608.7800000000007</v>
      </c>
    </row>
    <row r="11" spans="1:8" ht="22.5" customHeight="1">
      <c r="A11" s="21"/>
      <c r="B11" s="34"/>
      <c r="C11" s="21"/>
      <c r="D11" s="22"/>
      <c r="E11" s="22"/>
      <c r="F11" s="19"/>
      <c r="G11" s="57">
        <f t="shared" si="0"/>
        <v>0</v>
      </c>
      <c r="H11" s="58">
        <f t="shared" si="1"/>
        <v>9608.7800000000007</v>
      </c>
    </row>
    <row r="12" spans="1:8" ht="22.5" customHeight="1">
      <c r="A12" s="21"/>
      <c r="B12" s="34"/>
      <c r="C12" s="21"/>
      <c r="D12" s="22"/>
      <c r="E12" s="22"/>
      <c r="F12" s="20"/>
      <c r="G12" s="57">
        <f t="shared" si="0"/>
        <v>0</v>
      </c>
      <c r="H12" s="58">
        <f t="shared" si="1"/>
        <v>9608.7800000000007</v>
      </c>
    </row>
    <row r="13" spans="1:8" ht="22.5" customHeight="1">
      <c r="A13" s="21"/>
      <c r="B13" s="34"/>
      <c r="C13" s="21"/>
      <c r="D13" s="22"/>
      <c r="E13" s="22"/>
      <c r="F13" s="19"/>
      <c r="G13" s="57">
        <f t="shared" si="0"/>
        <v>0</v>
      </c>
      <c r="H13" s="58">
        <f t="shared" si="1"/>
        <v>9608.7800000000007</v>
      </c>
    </row>
    <row r="14" spans="1:8" ht="22.5" customHeight="1">
      <c r="A14" s="21"/>
      <c r="B14" s="34"/>
      <c r="C14" s="21"/>
      <c r="D14" s="22"/>
      <c r="E14" s="22"/>
      <c r="F14" s="20"/>
      <c r="G14" s="57">
        <f t="shared" si="0"/>
        <v>0</v>
      </c>
      <c r="H14" s="58">
        <f t="shared" si="1"/>
        <v>9608.7800000000007</v>
      </c>
    </row>
    <row r="15" spans="1:8" ht="22.5" customHeight="1">
      <c r="A15" s="21"/>
      <c r="B15" s="34"/>
      <c r="C15" s="21"/>
      <c r="D15" s="22"/>
      <c r="E15" s="22"/>
      <c r="F15" s="19"/>
      <c r="G15" s="57">
        <f t="shared" si="0"/>
        <v>0</v>
      </c>
      <c r="H15" s="58">
        <f t="shared" si="1"/>
        <v>9608.7800000000007</v>
      </c>
    </row>
    <row r="16" spans="1:8" ht="22.5" customHeight="1">
      <c r="A16" s="21"/>
      <c r="B16" s="34"/>
      <c r="C16" s="21"/>
      <c r="D16" s="22"/>
      <c r="E16" s="22"/>
      <c r="F16" s="20"/>
      <c r="G16" s="57">
        <f t="shared" si="0"/>
        <v>0</v>
      </c>
      <c r="H16" s="58">
        <f t="shared" si="1"/>
        <v>9608.7800000000007</v>
      </c>
    </row>
    <row r="17" spans="1:8" ht="22.5" customHeight="1">
      <c r="A17" s="21"/>
      <c r="B17" s="34"/>
      <c r="C17" s="21"/>
      <c r="D17" s="22"/>
      <c r="E17" s="22"/>
      <c r="F17" s="19"/>
      <c r="G17" s="57">
        <f t="shared" si="0"/>
        <v>0</v>
      </c>
      <c r="H17" s="58">
        <f t="shared" si="1"/>
        <v>9608.7800000000007</v>
      </c>
    </row>
    <row r="18" spans="1:8" ht="22.5" customHeight="1">
      <c r="A18" s="21"/>
      <c r="B18" s="34"/>
      <c r="C18" s="21"/>
      <c r="D18" s="22"/>
      <c r="E18" s="22"/>
      <c r="F18" s="20"/>
      <c r="G18" s="57">
        <f t="shared" si="0"/>
        <v>0</v>
      </c>
      <c r="H18" s="58">
        <f t="shared" si="1"/>
        <v>9608.7800000000007</v>
      </c>
    </row>
    <row r="19" spans="1:8" ht="22.5" customHeight="1">
      <c r="A19" s="21"/>
      <c r="B19" s="34"/>
      <c r="C19" s="21"/>
      <c r="D19" s="22"/>
      <c r="E19" s="22"/>
      <c r="F19" s="19"/>
      <c r="G19" s="57">
        <f t="shared" si="0"/>
        <v>0</v>
      </c>
      <c r="H19" s="58">
        <f t="shared" si="1"/>
        <v>9608.7800000000007</v>
      </c>
    </row>
    <row r="20" spans="1:8" ht="22.5" customHeight="1">
      <c r="A20" s="21"/>
      <c r="B20" s="34"/>
      <c r="C20" s="21"/>
      <c r="D20" s="22"/>
      <c r="E20" s="22"/>
      <c r="F20" s="20"/>
      <c r="G20" s="57">
        <f t="shared" si="0"/>
        <v>0</v>
      </c>
      <c r="H20" s="58">
        <f t="shared" si="1"/>
        <v>9608.7800000000007</v>
      </c>
    </row>
    <row r="21" spans="1:8" ht="22.5" customHeight="1">
      <c r="A21" s="21"/>
      <c r="B21" s="34"/>
      <c r="C21" s="21"/>
      <c r="D21" s="22"/>
      <c r="E21" s="22"/>
      <c r="F21" s="19"/>
      <c r="G21" s="57">
        <f t="shared" si="0"/>
        <v>0</v>
      </c>
      <c r="H21" s="58">
        <f t="shared" si="1"/>
        <v>9608.7800000000007</v>
      </c>
    </row>
    <row r="22" spans="1:8" ht="22.5" customHeight="1">
      <c r="A22" s="21"/>
      <c r="B22" s="34"/>
      <c r="C22" s="21"/>
      <c r="D22" s="22"/>
      <c r="E22" s="22"/>
      <c r="F22" s="20"/>
      <c r="G22" s="57">
        <f t="shared" si="0"/>
        <v>0</v>
      </c>
      <c r="H22" s="58">
        <f t="shared" si="1"/>
        <v>9608.7800000000007</v>
      </c>
    </row>
    <row r="23" spans="1:8" ht="22.5" customHeight="1">
      <c r="A23" s="21"/>
      <c r="B23" s="34"/>
      <c r="C23" s="21"/>
      <c r="D23" s="22"/>
      <c r="E23" s="22"/>
      <c r="F23" s="19"/>
      <c r="G23" s="57">
        <f t="shared" si="0"/>
        <v>0</v>
      </c>
      <c r="H23" s="58">
        <f t="shared" si="1"/>
        <v>9608.7800000000007</v>
      </c>
    </row>
    <row r="24" spans="1:8" ht="22.5" customHeight="1">
      <c r="A24" s="21"/>
      <c r="B24" s="34"/>
      <c r="C24" s="21"/>
      <c r="D24" s="22"/>
      <c r="E24" s="22"/>
      <c r="F24" s="20"/>
      <c r="G24" s="57">
        <f t="shared" si="0"/>
        <v>0</v>
      </c>
      <c r="H24" s="58">
        <f t="shared" si="1"/>
        <v>9608.7800000000007</v>
      </c>
    </row>
    <row r="25" spans="1:8" ht="22.5" customHeight="1">
      <c r="A25" s="21"/>
      <c r="B25" s="34"/>
      <c r="C25" s="21"/>
      <c r="D25" s="22"/>
      <c r="E25" s="22"/>
      <c r="F25" s="19"/>
      <c r="G25" s="57">
        <f t="shared" si="0"/>
        <v>0</v>
      </c>
      <c r="H25" s="58">
        <f t="shared" si="1"/>
        <v>9608.7800000000007</v>
      </c>
    </row>
    <row r="26" spans="1:8" ht="22.5" customHeight="1">
      <c r="A26" s="21"/>
      <c r="B26" s="34"/>
      <c r="C26" s="21"/>
      <c r="D26" s="22"/>
      <c r="E26" s="22"/>
      <c r="F26" s="20"/>
      <c r="G26" s="57">
        <f t="shared" si="0"/>
        <v>0</v>
      </c>
      <c r="H26" s="58">
        <f t="shared" si="1"/>
        <v>9608.7800000000007</v>
      </c>
    </row>
    <row r="27" spans="1:8" ht="22.5" customHeight="1">
      <c r="A27" s="21"/>
      <c r="B27" s="34"/>
      <c r="C27" s="21"/>
      <c r="D27" s="22"/>
      <c r="E27" s="22"/>
      <c r="F27" s="19"/>
      <c r="G27" s="57">
        <f t="shared" si="0"/>
        <v>0</v>
      </c>
      <c r="H27" s="58">
        <f t="shared" si="1"/>
        <v>9608.7800000000007</v>
      </c>
    </row>
    <row r="28" spans="1:8" ht="22.5" customHeight="1">
      <c r="A28" s="21"/>
      <c r="B28" s="34"/>
      <c r="C28" s="21"/>
      <c r="D28" s="22"/>
      <c r="E28" s="22"/>
      <c r="F28" s="20"/>
      <c r="G28" s="57">
        <f t="shared" si="0"/>
        <v>0</v>
      </c>
      <c r="H28" s="58">
        <f t="shared" si="1"/>
        <v>9608.7800000000007</v>
      </c>
    </row>
    <row r="29" spans="1:8" ht="22.5" customHeight="1">
      <c r="A29" s="21"/>
      <c r="B29" s="34"/>
      <c r="C29" s="21"/>
      <c r="D29" s="22"/>
      <c r="E29" s="22"/>
      <c r="F29" s="19"/>
      <c r="G29" s="57">
        <f t="shared" si="0"/>
        <v>0</v>
      </c>
      <c r="H29" s="58">
        <f t="shared" si="1"/>
        <v>9608.7800000000007</v>
      </c>
    </row>
    <row r="30" spans="1:8" ht="22.5" customHeight="1">
      <c r="A30" s="21"/>
      <c r="B30" s="34"/>
      <c r="C30" s="21"/>
      <c r="D30" s="22"/>
      <c r="E30" s="22"/>
      <c r="F30" s="20"/>
      <c r="G30" s="57">
        <f t="shared" si="0"/>
        <v>0</v>
      </c>
      <c r="H30" s="58">
        <f t="shared" si="1"/>
        <v>9608.7800000000007</v>
      </c>
    </row>
    <row r="31" spans="1:8" ht="22.5" customHeight="1">
      <c r="A31" s="21"/>
      <c r="B31" s="34"/>
      <c r="C31" s="21"/>
      <c r="D31" s="22"/>
      <c r="E31" s="22"/>
      <c r="F31" s="19"/>
      <c r="G31" s="57">
        <f t="shared" si="0"/>
        <v>0</v>
      </c>
      <c r="H31" s="58">
        <f t="shared" si="1"/>
        <v>9608.7800000000007</v>
      </c>
    </row>
    <row r="32" spans="1:8" ht="22.5" customHeight="1">
      <c r="A32" s="21"/>
      <c r="B32" s="34"/>
      <c r="C32" s="21"/>
      <c r="D32" s="22"/>
      <c r="E32" s="22"/>
      <c r="F32" s="20"/>
      <c r="G32" s="57">
        <f t="shared" si="0"/>
        <v>0</v>
      </c>
      <c r="H32" s="58">
        <f t="shared" si="1"/>
        <v>9608.7800000000007</v>
      </c>
    </row>
    <row r="33" spans="1:8" ht="22.5" customHeight="1">
      <c r="A33" s="21"/>
      <c r="B33" s="34"/>
      <c r="C33" s="21"/>
      <c r="D33" s="22"/>
      <c r="E33" s="22"/>
      <c r="F33" s="19"/>
      <c r="G33" s="57">
        <f t="shared" si="0"/>
        <v>0</v>
      </c>
      <c r="H33" s="58">
        <f t="shared" si="1"/>
        <v>9608.7800000000007</v>
      </c>
    </row>
    <row r="34" spans="1:8" ht="22.5" customHeight="1">
      <c r="A34" s="23"/>
      <c r="B34" s="34"/>
      <c r="C34" s="21"/>
      <c r="D34" s="24"/>
      <c r="E34" s="24"/>
      <c r="F34" s="20"/>
      <c r="G34" s="57">
        <f t="shared" si="0"/>
        <v>0</v>
      </c>
      <c r="H34" s="58">
        <f t="shared" si="1"/>
        <v>9608.7800000000007</v>
      </c>
    </row>
    <row r="35" spans="1:8" ht="22.5" customHeight="1">
      <c r="A35" s="23"/>
      <c r="B35" s="34"/>
      <c r="C35" s="21"/>
      <c r="D35" s="24"/>
      <c r="E35" s="24"/>
      <c r="F35" s="19"/>
      <c r="G35" s="57">
        <f t="shared" si="0"/>
        <v>0</v>
      </c>
      <c r="H35" s="58">
        <f t="shared" si="1"/>
        <v>9608.7800000000007</v>
      </c>
    </row>
    <row r="36" spans="1:8" ht="22.5" customHeight="1">
      <c r="A36" s="23"/>
      <c r="B36" s="34"/>
      <c r="C36" s="21"/>
      <c r="D36" s="24"/>
      <c r="E36" s="24"/>
      <c r="F36" s="20"/>
      <c r="G36" s="57">
        <f t="shared" si="0"/>
        <v>0</v>
      </c>
      <c r="H36" s="58">
        <f t="shared" si="1"/>
        <v>9608.7800000000007</v>
      </c>
    </row>
    <row r="37" spans="1:8" ht="22.5" customHeight="1">
      <c r="A37" s="23"/>
      <c r="B37" s="34"/>
      <c r="C37" s="21"/>
      <c r="D37" s="24"/>
      <c r="E37" s="24"/>
      <c r="F37" s="19"/>
      <c r="G37" s="57">
        <f t="shared" si="0"/>
        <v>0</v>
      </c>
      <c r="H37" s="58">
        <f t="shared" si="1"/>
        <v>9608.7800000000007</v>
      </c>
    </row>
    <row r="38" spans="1:8" ht="22.5" customHeight="1">
      <c r="A38" s="23"/>
      <c r="B38" s="34"/>
      <c r="C38" s="21"/>
      <c r="D38" s="24"/>
      <c r="E38" s="24"/>
      <c r="F38" s="25"/>
      <c r="G38" s="57">
        <f t="shared" si="0"/>
        <v>0</v>
      </c>
      <c r="H38" s="58">
        <f t="shared" si="1"/>
        <v>9608.7800000000007</v>
      </c>
    </row>
    <row r="39" spans="1:8" ht="22.5" customHeight="1">
      <c r="A39" s="23"/>
      <c r="B39" s="34"/>
      <c r="C39" s="21"/>
      <c r="D39" s="24"/>
      <c r="E39" s="24"/>
      <c r="F39" s="25"/>
      <c r="G39" s="57">
        <f t="shared" ref="G39:G70" si="2">IF(A39="Despesas",E39*-1,IF(A39="Receitas",E39,0))</f>
        <v>0</v>
      </c>
      <c r="H39" s="58">
        <f t="shared" ref="H39:H70" si="3">H38+G39</f>
        <v>9608.7800000000007</v>
      </c>
    </row>
    <row r="40" spans="1:8" ht="22.5" customHeight="1">
      <c r="A40" s="23"/>
      <c r="B40" s="34"/>
      <c r="C40" s="21"/>
      <c r="D40" s="24"/>
      <c r="E40" s="24"/>
      <c r="F40" s="25"/>
      <c r="G40" s="57">
        <f t="shared" si="2"/>
        <v>0</v>
      </c>
      <c r="H40" s="58">
        <f t="shared" si="3"/>
        <v>9608.7800000000007</v>
      </c>
    </row>
    <row r="41" spans="1:8" ht="22.5" customHeight="1">
      <c r="A41" s="23"/>
      <c r="B41" s="34"/>
      <c r="C41" s="21"/>
      <c r="D41" s="24"/>
      <c r="E41" s="24"/>
      <c r="F41" s="25"/>
      <c r="G41" s="57">
        <f t="shared" si="2"/>
        <v>0</v>
      </c>
      <c r="H41" s="58">
        <f t="shared" si="3"/>
        <v>9608.7800000000007</v>
      </c>
    </row>
    <row r="42" spans="1:8" ht="22.5" customHeight="1">
      <c r="A42" s="23"/>
      <c r="B42" s="34"/>
      <c r="C42" s="21"/>
      <c r="D42" s="24"/>
      <c r="E42" s="24"/>
      <c r="F42" s="25"/>
      <c r="G42" s="57">
        <f t="shared" si="2"/>
        <v>0</v>
      </c>
      <c r="H42" s="58">
        <f t="shared" si="3"/>
        <v>9608.7800000000007</v>
      </c>
    </row>
    <row r="43" spans="1:8" ht="22.5" customHeight="1">
      <c r="A43" s="23"/>
      <c r="B43" s="34"/>
      <c r="C43" s="21"/>
      <c r="D43" s="24"/>
      <c r="E43" s="24"/>
      <c r="F43" s="25"/>
      <c r="G43" s="57">
        <f t="shared" si="2"/>
        <v>0</v>
      </c>
      <c r="H43" s="58">
        <f t="shared" si="3"/>
        <v>9608.7800000000007</v>
      </c>
    </row>
    <row r="44" spans="1:8" ht="22.5" customHeight="1">
      <c r="A44" s="23"/>
      <c r="B44" s="34"/>
      <c r="C44" s="21"/>
      <c r="D44" s="24"/>
      <c r="E44" s="24"/>
      <c r="F44" s="25"/>
      <c r="G44" s="57">
        <f t="shared" si="2"/>
        <v>0</v>
      </c>
      <c r="H44" s="58">
        <f t="shared" si="3"/>
        <v>9608.7800000000007</v>
      </c>
    </row>
    <row r="45" spans="1:8" ht="22.5" customHeight="1">
      <c r="A45" s="23"/>
      <c r="B45" s="34"/>
      <c r="C45" s="21"/>
      <c r="D45" s="24"/>
      <c r="E45" s="24"/>
      <c r="F45" s="25"/>
      <c r="G45" s="57">
        <f t="shared" si="2"/>
        <v>0</v>
      </c>
      <c r="H45" s="58">
        <f t="shared" si="3"/>
        <v>9608.7800000000007</v>
      </c>
    </row>
    <row r="46" spans="1:8" ht="22.5" customHeight="1">
      <c r="A46" s="23"/>
      <c r="B46" s="34"/>
      <c r="C46" s="21"/>
      <c r="D46" s="24"/>
      <c r="E46" s="24"/>
      <c r="F46" s="25"/>
      <c r="G46" s="57">
        <f t="shared" si="2"/>
        <v>0</v>
      </c>
      <c r="H46" s="58">
        <f t="shared" si="3"/>
        <v>9608.7800000000007</v>
      </c>
    </row>
    <row r="47" spans="1:8" ht="22.5" customHeight="1">
      <c r="A47" s="23"/>
      <c r="B47" s="34"/>
      <c r="C47" s="21"/>
      <c r="D47" s="24"/>
      <c r="E47" s="24"/>
      <c r="F47" s="25"/>
      <c r="G47" s="57">
        <f t="shared" si="2"/>
        <v>0</v>
      </c>
      <c r="H47" s="58">
        <f t="shared" si="3"/>
        <v>9608.7800000000007</v>
      </c>
    </row>
    <row r="48" spans="1:8" ht="22.5" customHeight="1">
      <c r="A48" s="23"/>
      <c r="B48" s="34"/>
      <c r="C48" s="21"/>
      <c r="D48" s="24"/>
      <c r="E48" s="24"/>
      <c r="F48" s="25"/>
      <c r="G48" s="57">
        <f t="shared" si="2"/>
        <v>0</v>
      </c>
      <c r="H48" s="58">
        <f t="shared" si="3"/>
        <v>9608.7800000000007</v>
      </c>
    </row>
    <row r="49" spans="1:8" ht="22.5" customHeight="1">
      <c r="A49" s="23"/>
      <c r="B49" s="34"/>
      <c r="C49" s="21"/>
      <c r="D49" s="24"/>
      <c r="E49" s="24"/>
      <c r="F49" s="25"/>
      <c r="G49" s="57">
        <f t="shared" si="2"/>
        <v>0</v>
      </c>
      <c r="H49" s="58">
        <f t="shared" si="3"/>
        <v>9608.7800000000007</v>
      </c>
    </row>
    <row r="50" spans="1:8" ht="22.5" customHeight="1">
      <c r="A50" s="23"/>
      <c r="B50" s="34"/>
      <c r="C50" s="21"/>
      <c r="D50" s="24"/>
      <c r="E50" s="24"/>
      <c r="F50" s="25"/>
      <c r="G50" s="57">
        <f t="shared" si="2"/>
        <v>0</v>
      </c>
      <c r="H50" s="58">
        <f t="shared" si="3"/>
        <v>9608.7800000000007</v>
      </c>
    </row>
    <row r="51" spans="1:8" ht="22.5" customHeight="1">
      <c r="A51" s="23"/>
      <c r="B51" s="34"/>
      <c r="C51" s="21"/>
      <c r="D51" s="24"/>
      <c r="E51" s="24"/>
      <c r="F51" s="25"/>
      <c r="G51" s="57">
        <f t="shared" si="2"/>
        <v>0</v>
      </c>
      <c r="H51" s="58">
        <f t="shared" si="3"/>
        <v>9608.7800000000007</v>
      </c>
    </row>
    <row r="52" spans="1:8" ht="22.5" customHeight="1">
      <c r="A52" s="23"/>
      <c r="B52" s="34"/>
      <c r="C52" s="21"/>
      <c r="D52" s="24"/>
      <c r="E52" s="24"/>
      <c r="F52" s="25"/>
      <c r="G52" s="57">
        <f t="shared" si="2"/>
        <v>0</v>
      </c>
      <c r="H52" s="58">
        <f t="shared" si="3"/>
        <v>9608.7800000000007</v>
      </c>
    </row>
    <row r="53" spans="1:8" ht="22.5" customHeight="1">
      <c r="A53" s="23"/>
      <c r="B53" s="34"/>
      <c r="C53" s="21"/>
      <c r="D53" s="24"/>
      <c r="E53" s="24"/>
      <c r="F53" s="25"/>
      <c r="G53" s="57">
        <f t="shared" si="2"/>
        <v>0</v>
      </c>
      <c r="H53" s="58">
        <f t="shared" si="3"/>
        <v>9608.7800000000007</v>
      </c>
    </row>
    <row r="54" spans="1:8" ht="22.5" customHeight="1">
      <c r="A54" s="23"/>
      <c r="B54" s="34"/>
      <c r="C54" s="21"/>
      <c r="D54" s="24"/>
      <c r="E54" s="24"/>
      <c r="F54" s="25"/>
      <c r="G54" s="57">
        <f t="shared" si="2"/>
        <v>0</v>
      </c>
      <c r="H54" s="58">
        <f t="shared" si="3"/>
        <v>9608.7800000000007</v>
      </c>
    </row>
    <row r="55" spans="1:8" ht="22.5" customHeight="1">
      <c r="A55" s="23"/>
      <c r="B55" s="34"/>
      <c r="C55" s="21"/>
      <c r="D55" s="24"/>
      <c r="E55" s="24"/>
      <c r="F55" s="25"/>
      <c r="G55" s="57">
        <f t="shared" si="2"/>
        <v>0</v>
      </c>
      <c r="H55" s="58">
        <f t="shared" si="3"/>
        <v>9608.7800000000007</v>
      </c>
    </row>
    <row r="56" spans="1:8" ht="22.5" customHeight="1">
      <c r="A56" s="23"/>
      <c r="B56" s="34"/>
      <c r="C56" s="21"/>
      <c r="D56" s="24"/>
      <c r="E56" s="24"/>
      <c r="F56" s="25"/>
      <c r="G56" s="57">
        <f t="shared" si="2"/>
        <v>0</v>
      </c>
      <c r="H56" s="58">
        <f t="shared" si="3"/>
        <v>9608.7800000000007</v>
      </c>
    </row>
    <row r="57" spans="1:8" ht="22.5" customHeight="1">
      <c r="A57" s="23"/>
      <c r="B57" s="34"/>
      <c r="C57" s="21"/>
      <c r="D57" s="24"/>
      <c r="E57" s="24"/>
      <c r="F57" s="25"/>
      <c r="G57" s="57">
        <f t="shared" si="2"/>
        <v>0</v>
      </c>
      <c r="H57" s="58">
        <f t="shared" si="3"/>
        <v>9608.7800000000007</v>
      </c>
    </row>
    <row r="58" spans="1:8" ht="22.5" customHeight="1">
      <c r="A58" s="23"/>
      <c r="B58" s="34"/>
      <c r="C58" s="21"/>
      <c r="D58" s="24"/>
      <c r="E58" s="24"/>
      <c r="F58" s="25"/>
      <c r="G58" s="57">
        <f t="shared" si="2"/>
        <v>0</v>
      </c>
      <c r="H58" s="58">
        <f t="shared" si="3"/>
        <v>9608.7800000000007</v>
      </c>
    </row>
    <row r="59" spans="1:8" ht="22.5" customHeight="1">
      <c r="A59" s="23"/>
      <c r="B59" s="34"/>
      <c r="C59" s="21"/>
      <c r="D59" s="24"/>
      <c r="E59" s="24"/>
      <c r="F59" s="25"/>
      <c r="G59" s="57">
        <f t="shared" si="2"/>
        <v>0</v>
      </c>
      <c r="H59" s="58">
        <f t="shared" si="3"/>
        <v>9608.7800000000007</v>
      </c>
    </row>
    <row r="60" spans="1:8" ht="22.5" customHeight="1">
      <c r="A60" s="23"/>
      <c r="B60" s="34"/>
      <c r="C60" s="21"/>
      <c r="D60" s="24"/>
      <c r="E60" s="24"/>
      <c r="F60" s="25"/>
      <c r="G60" s="57">
        <f t="shared" si="2"/>
        <v>0</v>
      </c>
      <c r="H60" s="58">
        <f t="shared" si="3"/>
        <v>9608.7800000000007</v>
      </c>
    </row>
    <row r="61" spans="1:8" ht="22.5" customHeight="1">
      <c r="A61" s="23"/>
      <c r="B61" s="34"/>
      <c r="C61" s="21"/>
      <c r="D61" s="24"/>
      <c r="E61" s="24"/>
      <c r="F61" s="25"/>
      <c r="G61" s="57">
        <f t="shared" si="2"/>
        <v>0</v>
      </c>
      <c r="H61" s="58">
        <f t="shared" si="3"/>
        <v>9608.7800000000007</v>
      </c>
    </row>
    <row r="62" spans="1:8" ht="22.5" customHeight="1">
      <c r="A62" s="23"/>
      <c r="B62" s="34"/>
      <c r="C62" s="21"/>
      <c r="D62" s="24"/>
      <c r="E62" s="24"/>
      <c r="F62" s="25"/>
      <c r="G62" s="57">
        <f t="shared" si="2"/>
        <v>0</v>
      </c>
      <c r="H62" s="58">
        <f t="shared" si="3"/>
        <v>9608.7800000000007</v>
      </c>
    </row>
    <row r="63" spans="1:8" ht="22.5" customHeight="1">
      <c r="A63" s="23"/>
      <c r="B63" s="34"/>
      <c r="C63" s="21"/>
      <c r="D63" s="24"/>
      <c r="E63" s="24"/>
      <c r="F63" s="25"/>
      <c r="G63" s="57">
        <f t="shared" si="2"/>
        <v>0</v>
      </c>
      <c r="H63" s="58">
        <f t="shared" si="3"/>
        <v>9608.7800000000007</v>
      </c>
    </row>
    <row r="64" spans="1:8" ht="22.5" customHeight="1">
      <c r="A64" s="23"/>
      <c r="B64" s="34"/>
      <c r="C64" s="21"/>
      <c r="D64" s="24"/>
      <c r="E64" s="24"/>
      <c r="F64" s="25"/>
      <c r="G64" s="57">
        <f t="shared" si="2"/>
        <v>0</v>
      </c>
      <c r="H64" s="58">
        <f t="shared" si="3"/>
        <v>9608.7800000000007</v>
      </c>
    </row>
    <row r="65" spans="1:8" ht="22.5" customHeight="1">
      <c r="A65" s="23"/>
      <c r="B65" s="34"/>
      <c r="C65" s="21"/>
      <c r="D65" s="24"/>
      <c r="E65" s="24"/>
      <c r="F65" s="25"/>
      <c r="G65" s="57">
        <f t="shared" si="2"/>
        <v>0</v>
      </c>
      <c r="H65" s="58">
        <f t="shared" si="3"/>
        <v>9608.7800000000007</v>
      </c>
    </row>
    <row r="66" spans="1:8" ht="22.5" customHeight="1">
      <c r="A66" s="23"/>
      <c r="B66" s="34"/>
      <c r="C66" s="21"/>
      <c r="D66" s="24"/>
      <c r="E66" s="24"/>
      <c r="F66" s="25"/>
      <c r="G66" s="57">
        <f t="shared" si="2"/>
        <v>0</v>
      </c>
      <c r="H66" s="58">
        <f t="shared" si="3"/>
        <v>9608.7800000000007</v>
      </c>
    </row>
    <row r="67" spans="1:8" ht="22.5" customHeight="1">
      <c r="A67" s="23"/>
      <c r="B67" s="34"/>
      <c r="C67" s="21"/>
      <c r="D67" s="24"/>
      <c r="E67" s="24"/>
      <c r="F67" s="25"/>
      <c r="G67" s="57">
        <f t="shared" si="2"/>
        <v>0</v>
      </c>
      <c r="H67" s="58">
        <f t="shared" si="3"/>
        <v>9608.7800000000007</v>
      </c>
    </row>
    <row r="68" spans="1:8" ht="22.5" customHeight="1">
      <c r="A68" s="23"/>
      <c r="B68" s="34"/>
      <c r="C68" s="21"/>
      <c r="D68" s="24"/>
      <c r="E68" s="24"/>
      <c r="F68" s="25"/>
      <c r="G68" s="57">
        <f t="shared" si="2"/>
        <v>0</v>
      </c>
      <c r="H68" s="58">
        <f t="shared" si="3"/>
        <v>9608.7800000000007</v>
      </c>
    </row>
    <row r="69" spans="1:8" ht="22.5" customHeight="1">
      <c r="A69" s="23"/>
      <c r="B69" s="34"/>
      <c r="C69" s="21"/>
      <c r="D69" s="24"/>
      <c r="E69" s="24"/>
      <c r="F69" s="25"/>
      <c r="G69" s="57">
        <f t="shared" si="2"/>
        <v>0</v>
      </c>
      <c r="H69" s="58">
        <f t="shared" si="3"/>
        <v>9608.7800000000007</v>
      </c>
    </row>
    <row r="70" spans="1:8" ht="22.5" customHeight="1">
      <c r="A70" s="23"/>
      <c r="B70" s="34"/>
      <c r="C70" s="21"/>
      <c r="D70" s="24"/>
      <c r="E70" s="24"/>
      <c r="F70" s="25"/>
      <c r="G70" s="57">
        <f t="shared" si="2"/>
        <v>0</v>
      </c>
      <c r="H70" s="58">
        <f t="shared" si="3"/>
        <v>9608.7800000000007</v>
      </c>
    </row>
    <row r="71" spans="1:8" ht="22.5" customHeight="1">
      <c r="A71" s="23"/>
      <c r="B71" s="34"/>
      <c r="C71" s="21"/>
      <c r="D71" s="24"/>
      <c r="E71" s="24"/>
      <c r="F71" s="25"/>
      <c r="G71" s="57">
        <f t="shared" ref="G71:G102" si="4">IF(A71="Despesas",E71*-1,IF(A71="Receitas",E71,0))</f>
        <v>0</v>
      </c>
      <c r="H71" s="58">
        <f t="shared" ref="H71:H102" si="5">H70+G71</f>
        <v>9608.7800000000007</v>
      </c>
    </row>
    <row r="72" spans="1:8" ht="22.5" customHeight="1">
      <c r="A72" s="23"/>
      <c r="B72" s="34"/>
      <c r="C72" s="21"/>
      <c r="D72" s="24"/>
      <c r="E72" s="24"/>
      <c r="F72" s="25"/>
      <c r="G72" s="57">
        <f t="shared" si="4"/>
        <v>0</v>
      </c>
      <c r="H72" s="58">
        <f t="shared" si="5"/>
        <v>9608.7800000000007</v>
      </c>
    </row>
    <row r="73" spans="1:8" ht="22.5" customHeight="1">
      <c r="A73" s="23"/>
      <c r="B73" s="34"/>
      <c r="C73" s="21"/>
      <c r="D73" s="24"/>
      <c r="E73" s="24"/>
      <c r="F73" s="25"/>
      <c r="G73" s="57">
        <f t="shared" si="4"/>
        <v>0</v>
      </c>
      <c r="H73" s="58">
        <f t="shared" si="5"/>
        <v>9608.7800000000007</v>
      </c>
    </row>
    <row r="74" spans="1:8" ht="22.5" customHeight="1">
      <c r="A74" s="23"/>
      <c r="B74" s="34"/>
      <c r="C74" s="21"/>
      <c r="D74" s="24"/>
      <c r="E74" s="24"/>
      <c r="F74" s="25"/>
      <c r="G74" s="57">
        <f t="shared" si="4"/>
        <v>0</v>
      </c>
      <c r="H74" s="58">
        <f t="shared" si="5"/>
        <v>9608.7800000000007</v>
      </c>
    </row>
    <row r="75" spans="1:8" ht="22.5" customHeight="1">
      <c r="A75" s="23"/>
      <c r="B75" s="34"/>
      <c r="C75" s="21"/>
      <c r="D75" s="24"/>
      <c r="E75" s="24"/>
      <c r="F75" s="25"/>
      <c r="G75" s="57">
        <f t="shared" si="4"/>
        <v>0</v>
      </c>
      <c r="H75" s="58">
        <f t="shared" si="5"/>
        <v>9608.7800000000007</v>
      </c>
    </row>
    <row r="76" spans="1:8" ht="22.5" customHeight="1">
      <c r="A76" s="23"/>
      <c r="B76" s="34"/>
      <c r="C76" s="21"/>
      <c r="D76" s="24"/>
      <c r="E76" s="24"/>
      <c r="F76" s="25"/>
      <c r="G76" s="57">
        <f t="shared" si="4"/>
        <v>0</v>
      </c>
      <c r="H76" s="58">
        <f t="shared" si="5"/>
        <v>9608.7800000000007</v>
      </c>
    </row>
    <row r="77" spans="1:8" ht="22.5" customHeight="1">
      <c r="A77" s="23"/>
      <c r="B77" s="34"/>
      <c r="C77" s="21"/>
      <c r="D77" s="24"/>
      <c r="E77" s="24"/>
      <c r="F77" s="25"/>
      <c r="G77" s="57">
        <f t="shared" si="4"/>
        <v>0</v>
      </c>
      <c r="H77" s="58">
        <f t="shared" si="5"/>
        <v>9608.7800000000007</v>
      </c>
    </row>
    <row r="78" spans="1:8" ht="22.5" customHeight="1">
      <c r="A78" s="23"/>
      <c r="B78" s="34"/>
      <c r="C78" s="21"/>
      <c r="D78" s="24"/>
      <c r="E78" s="24"/>
      <c r="F78" s="25"/>
      <c r="G78" s="57">
        <f t="shared" si="4"/>
        <v>0</v>
      </c>
      <c r="H78" s="58">
        <f t="shared" si="5"/>
        <v>9608.7800000000007</v>
      </c>
    </row>
    <row r="79" spans="1:8" ht="22.5" customHeight="1">
      <c r="A79" s="23"/>
      <c r="B79" s="34"/>
      <c r="C79" s="21"/>
      <c r="D79" s="24"/>
      <c r="E79" s="24"/>
      <c r="F79" s="25"/>
      <c r="G79" s="57">
        <f t="shared" si="4"/>
        <v>0</v>
      </c>
      <c r="H79" s="58">
        <f t="shared" si="5"/>
        <v>9608.7800000000007</v>
      </c>
    </row>
    <row r="80" spans="1:8" ht="22.5" customHeight="1">
      <c r="A80" s="23"/>
      <c r="B80" s="34"/>
      <c r="C80" s="21"/>
      <c r="D80" s="24"/>
      <c r="E80" s="24"/>
      <c r="F80" s="25"/>
      <c r="G80" s="57">
        <f t="shared" si="4"/>
        <v>0</v>
      </c>
      <c r="H80" s="58">
        <f t="shared" si="5"/>
        <v>9608.7800000000007</v>
      </c>
    </row>
    <row r="81" spans="1:8" ht="22.5" customHeight="1">
      <c r="A81" s="23"/>
      <c r="B81" s="34"/>
      <c r="C81" s="21"/>
      <c r="D81" s="24"/>
      <c r="E81" s="24"/>
      <c r="F81" s="25"/>
      <c r="G81" s="57">
        <f t="shared" si="4"/>
        <v>0</v>
      </c>
      <c r="H81" s="58">
        <f t="shared" si="5"/>
        <v>9608.7800000000007</v>
      </c>
    </row>
    <row r="82" spans="1:8" ht="22.5" customHeight="1">
      <c r="A82" s="23"/>
      <c r="B82" s="34"/>
      <c r="C82" s="21"/>
      <c r="D82" s="24"/>
      <c r="E82" s="24"/>
      <c r="F82" s="25"/>
      <c r="G82" s="57">
        <f t="shared" si="4"/>
        <v>0</v>
      </c>
      <c r="H82" s="58">
        <f t="shared" si="5"/>
        <v>9608.7800000000007</v>
      </c>
    </row>
    <row r="83" spans="1:8" ht="22.5" customHeight="1">
      <c r="A83" s="23"/>
      <c r="B83" s="34"/>
      <c r="C83" s="21"/>
      <c r="D83" s="24"/>
      <c r="E83" s="24"/>
      <c r="F83" s="25"/>
      <c r="G83" s="57">
        <f t="shared" si="4"/>
        <v>0</v>
      </c>
      <c r="H83" s="58">
        <f t="shared" si="5"/>
        <v>9608.7800000000007</v>
      </c>
    </row>
    <row r="84" spans="1:8" ht="22.5" customHeight="1">
      <c r="A84" s="23"/>
      <c r="B84" s="34"/>
      <c r="C84" s="21"/>
      <c r="D84" s="24"/>
      <c r="E84" s="24"/>
      <c r="F84" s="25"/>
      <c r="G84" s="57">
        <f t="shared" si="4"/>
        <v>0</v>
      </c>
      <c r="H84" s="58">
        <f t="shared" si="5"/>
        <v>9608.7800000000007</v>
      </c>
    </row>
    <row r="85" spans="1:8" ht="22.5" customHeight="1">
      <c r="A85" s="23"/>
      <c r="B85" s="34"/>
      <c r="C85" s="21"/>
      <c r="D85" s="24"/>
      <c r="E85" s="24"/>
      <c r="F85" s="25"/>
      <c r="G85" s="57">
        <f t="shared" si="4"/>
        <v>0</v>
      </c>
      <c r="H85" s="58">
        <f t="shared" si="5"/>
        <v>9608.7800000000007</v>
      </c>
    </row>
    <row r="86" spans="1:8" ht="22.5" customHeight="1">
      <c r="A86" s="23"/>
      <c r="B86" s="34"/>
      <c r="C86" s="21"/>
      <c r="D86" s="24"/>
      <c r="E86" s="24"/>
      <c r="F86" s="25"/>
      <c r="G86" s="57">
        <f t="shared" si="4"/>
        <v>0</v>
      </c>
      <c r="H86" s="58">
        <f t="shared" si="5"/>
        <v>9608.7800000000007</v>
      </c>
    </row>
    <row r="87" spans="1:8" ht="22.5" customHeight="1">
      <c r="A87" s="23"/>
      <c r="B87" s="34"/>
      <c r="C87" s="21"/>
      <c r="D87" s="24"/>
      <c r="E87" s="24"/>
      <c r="F87" s="25"/>
      <c r="G87" s="57">
        <f t="shared" si="4"/>
        <v>0</v>
      </c>
      <c r="H87" s="58">
        <f t="shared" si="5"/>
        <v>9608.7800000000007</v>
      </c>
    </row>
    <row r="88" spans="1:8" ht="22.5" customHeight="1">
      <c r="A88" s="23"/>
      <c r="B88" s="34"/>
      <c r="C88" s="21"/>
      <c r="D88" s="24"/>
      <c r="E88" s="24"/>
      <c r="F88" s="25"/>
      <c r="G88" s="57">
        <f t="shared" si="4"/>
        <v>0</v>
      </c>
      <c r="H88" s="58">
        <f t="shared" si="5"/>
        <v>9608.7800000000007</v>
      </c>
    </row>
    <row r="89" spans="1:8" ht="22.5" customHeight="1">
      <c r="A89" s="23"/>
      <c r="B89" s="34"/>
      <c r="C89" s="21"/>
      <c r="D89" s="24"/>
      <c r="E89" s="24"/>
      <c r="F89" s="25"/>
      <c r="G89" s="57">
        <f t="shared" si="4"/>
        <v>0</v>
      </c>
      <c r="H89" s="58">
        <f t="shared" si="5"/>
        <v>9608.7800000000007</v>
      </c>
    </row>
    <row r="90" spans="1:8" ht="22.5" customHeight="1">
      <c r="A90" s="23"/>
      <c r="B90" s="34"/>
      <c r="C90" s="21"/>
      <c r="D90" s="24"/>
      <c r="E90" s="24"/>
      <c r="F90" s="25"/>
      <c r="G90" s="57">
        <f t="shared" si="4"/>
        <v>0</v>
      </c>
      <c r="H90" s="58">
        <f t="shared" si="5"/>
        <v>9608.7800000000007</v>
      </c>
    </row>
    <row r="91" spans="1:8" ht="22.5" customHeight="1">
      <c r="A91" s="23"/>
      <c r="B91" s="34"/>
      <c r="C91" s="21"/>
      <c r="D91" s="24"/>
      <c r="E91" s="24"/>
      <c r="F91" s="25"/>
      <c r="G91" s="57">
        <f t="shared" si="4"/>
        <v>0</v>
      </c>
      <c r="H91" s="58">
        <f t="shared" si="5"/>
        <v>9608.7800000000007</v>
      </c>
    </row>
    <row r="92" spans="1:8" ht="22.5" customHeight="1">
      <c r="A92" s="23"/>
      <c r="B92" s="34"/>
      <c r="C92" s="21"/>
      <c r="D92" s="24"/>
      <c r="E92" s="24"/>
      <c r="F92" s="25"/>
      <c r="G92" s="57">
        <f t="shared" si="4"/>
        <v>0</v>
      </c>
      <c r="H92" s="58">
        <f t="shared" si="5"/>
        <v>9608.7800000000007</v>
      </c>
    </row>
    <row r="93" spans="1:8" ht="22.5" customHeight="1">
      <c r="A93" s="23"/>
      <c r="B93" s="34"/>
      <c r="C93" s="21"/>
      <c r="D93" s="24"/>
      <c r="E93" s="24"/>
      <c r="F93" s="25"/>
      <c r="G93" s="57">
        <f t="shared" si="4"/>
        <v>0</v>
      </c>
      <c r="H93" s="58">
        <f t="shared" si="5"/>
        <v>9608.7800000000007</v>
      </c>
    </row>
    <row r="94" spans="1:8" ht="22.5" customHeight="1">
      <c r="A94" s="23"/>
      <c r="B94" s="34"/>
      <c r="C94" s="21"/>
      <c r="D94" s="24"/>
      <c r="E94" s="24"/>
      <c r="F94" s="25"/>
      <c r="G94" s="57">
        <f t="shared" si="4"/>
        <v>0</v>
      </c>
      <c r="H94" s="58">
        <f t="shared" si="5"/>
        <v>9608.7800000000007</v>
      </c>
    </row>
    <row r="95" spans="1:8" ht="22.5" customHeight="1">
      <c r="A95" s="23"/>
      <c r="B95" s="34"/>
      <c r="C95" s="21"/>
      <c r="D95" s="24"/>
      <c r="E95" s="24"/>
      <c r="F95" s="25"/>
      <c r="G95" s="57">
        <f t="shared" si="4"/>
        <v>0</v>
      </c>
      <c r="H95" s="58">
        <f t="shared" si="5"/>
        <v>9608.7800000000007</v>
      </c>
    </row>
    <row r="96" spans="1:8" ht="22.5" customHeight="1">
      <c r="A96" s="23"/>
      <c r="B96" s="34"/>
      <c r="C96" s="21"/>
      <c r="D96" s="24"/>
      <c r="E96" s="24"/>
      <c r="F96" s="25"/>
      <c r="G96" s="57">
        <f t="shared" si="4"/>
        <v>0</v>
      </c>
      <c r="H96" s="58">
        <f t="shared" si="5"/>
        <v>9608.7800000000007</v>
      </c>
    </row>
    <row r="97" spans="1:8" ht="22.5" customHeight="1">
      <c r="A97" s="23"/>
      <c r="B97" s="34"/>
      <c r="C97" s="21"/>
      <c r="D97" s="24"/>
      <c r="E97" s="24"/>
      <c r="F97" s="25"/>
      <c r="G97" s="57">
        <f t="shared" si="4"/>
        <v>0</v>
      </c>
      <c r="H97" s="58">
        <f t="shared" si="5"/>
        <v>9608.7800000000007</v>
      </c>
    </row>
    <row r="98" spans="1:8" ht="22.5" customHeight="1">
      <c r="A98" s="23"/>
      <c r="B98" s="34"/>
      <c r="C98" s="21"/>
      <c r="D98" s="24"/>
      <c r="E98" s="24"/>
      <c r="F98" s="25"/>
      <c r="G98" s="57">
        <f t="shared" si="4"/>
        <v>0</v>
      </c>
      <c r="H98" s="58">
        <f t="shared" si="5"/>
        <v>9608.7800000000007</v>
      </c>
    </row>
    <row r="99" spans="1:8" ht="22.5" customHeight="1">
      <c r="A99" s="23"/>
      <c r="B99" s="34"/>
      <c r="C99" s="21"/>
      <c r="D99" s="24"/>
      <c r="E99" s="24"/>
      <c r="F99" s="25"/>
      <c r="G99" s="57">
        <f t="shared" si="4"/>
        <v>0</v>
      </c>
      <c r="H99" s="58">
        <f t="shared" si="5"/>
        <v>9608.7800000000007</v>
      </c>
    </row>
    <row r="100" spans="1:8" ht="22.5" customHeight="1">
      <c r="A100" s="23"/>
      <c r="B100" s="34"/>
      <c r="C100" s="21"/>
      <c r="D100" s="24"/>
      <c r="E100" s="24"/>
      <c r="F100" s="25"/>
      <c r="G100" s="57">
        <f t="shared" si="4"/>
        <v>0</v>
      </c>
      <c r="H100" s="58">
        <f t="shared" si="5"/>
        <v>9608.7800000000007</v>
      </c>
    </row>
    <row r="101" spans="1:8" ht="22.5" customHeight="1">
      <c r="A101" s="23"/>
      <c r="B101" s="34"/>
      <c r="C101" s="21"/>
      <c r="D101" s="24"/>
      <c r="E101" s="24"/>
      <c r="F101" s="25"/>
      <c r="G101" s="57">
        <f t="shared" si="4"/>
        <v>0</v>
      </c>
      <c r="H101" s="58">
        <f t="shared" si="5"/>
        <v>9608.7800000000007</v>
      </c>
    </row>
    <row r="102" spans="1:8" ht="22.5" customHeight="1">
      <c r="A102" s="23"/>
      <c r="B102" s="34"/>
      <c r="C102" s="21"/>
      <c r="D102" s="24"/>
      <c r="E102" s="24"/>
      <c r="F102" s="25"/>
      <c r="G102" s="57">
        <f t="shared" si="4"/>
        <v>0</v>
      </c>
      <c r="H102" s="58">
        <f t="shared" si="5"/>
        <v>9608.7800000000007</v>
      </c>
    </row>
    <row r="103" spans="1:8" ht="22.5" customHeight="1">
      <c r="A103" s="23"/>
      <c r="B103" s="34"/>
      <c r="C103" s="21"/>
      <c r="D103" s="24"/>
      <c r="E103" s="24"/>
      <c r="F103" s="25"/>
      <c r="G103" s="57">
        <f t="shared" ref="G103:G134" si="6">IF(A103="Despesas",E103*-1,IF(A103="Receitas",E103,0))</f>
        <v>0</v>
      </c>
      <c r="H103" s="58">
        <f t="shared" ref="H103:H134" si="7">H102+G103</f>
        <v>9608.7800000000007</v>
      </c>
    </row>
    <row r="104" spans="1:8" ht="22.5" customHeight="1">
      <c r="A104" s="23"/>
      <c r="B104" s="34"/>
      <c r="C104" s="21"/>
      <c r="D104" s="24"/>
      <c r="E104" s="24"/>
      <c r="F104" s="25"/>
      <c r="G104" s="57">
        <f t="shared" si="6"/>
        <v>0</v>
      </c>
      <c r="H104" s="58">
        <f t="shared" si="7"/>
        <v>9608.7800000000007</v>
      </c>
    </row>
    <row r="105" spans="1:8" ht="22.5" customHeight="1">
      <c r="A105" s="23"/>
      <c r="B105" s="34"/>
      <c r="C105" s="21"/>
      <c r="D105" s="24"/>
      <c r="E105" s="24"/>
      <c r="F105" s="25"/>
      <c r="G105" s="57">
        <f t="shared" si="6"/>
        <v>0</v>
      </c>
      <c r="H105" s="58">
        <f t="shared" si="7"/>
        <v>9608.7800000000007</v>
      </c>
    </row>
    <row r="106" spans="1:8" ht="22.5" customHeight="1">
      <c r="A106" s="23"/>
      <c r="B106" s="34"/>
      <c r="C106" s="21"/>
      <c r="D106" s="24"/>
      <c r="E106" s="24"/>
      <c r="F106" s="25"/>
      <c r="G106" s="57">
        <f t="shared" si="6"/>
        <v>0</v>
      </c>
      <c r="H106" s="58">
        <f t="shared" si="7"/>
        <v>9608.7800000000007</v>
      </c>
    </row>
    <row r="107" spans="1:8" ht="22.5" customHeight="1">
      <c r="A107" s="23"/>
      <c r="B107" s="34"/>
      <c r="C107" s="21"/>
      <c r="D107" s="24"/>
      <c r="E107" s="24"/>
      <c r="F107" s="25"/>
      <c r="G107" s="57">
        <f t="shared" si="6"/>
        <v>0</v>
      </c>
      <c r="H107" s="58">
        <f t="shared" si="7"/>
        <v>9608.7800000000007</v>
      </c>
    </row>
    <row r="108" spans="1:8" ht="22.5" customHeight="1">
      <c r="A108" s="23"/>
      <c r="B108" s="34"/>
      <c r="C108" s="21"/>
      <c r="D108" s="24"/>
      <c r="E108" s="24"/>
      <c r="F108" s="25"/>
      <c r="G108" s="57">
        <f t="shared" si="6"/>
        <v>0</v>
      </c>
      <c r="H108" s="58">
        <f t="shared" si="7"/>
        <v>9608.7800000000007</v>
      </c>
    </row>
    <row r="109" spans="1:8" ht="22.5" customHeight="1">
      <c r="A109" s="23"/>
      <c r="B109" s="34"/>
      <c r="C109" s="21"/>
      <c r="D109" s="24"/>
      <c r="E109" s="24"/>
      <c r="F109" s="25"/>
      <c r="G109" s="57">
        <f t="shared" si="6"/>
        <v>0</v>
      </c>
      <c r="H109" s="58">
        <f t="shared" si="7"/>
        <v>9608.7800000000007</v>
      </c>
    </row>
    <row r="110" spans="1:8" ht="22.5" customHeight="1">
      <c r="A110" s="23"/>
      <c r="B110" s="34"/>
      <c r="C110" s="21"/>
      <c r="D110" s="24"/>
      <c r="E110" s="24"/>
      <c r="F110" s="25"/>
      <c r="G110" s="57">
        <f t="shared" si="6"/>
        <v>0</v>
      </c>
      <c r="H110" s="58">
        <f t="shared" si="7"/>
        <v>9608.7800000000007</v>
      </c>
    </row>
    <row r="111" spans="1:8" ht="22.5" customHeight="1">
      <c r="A111" s="23"/>
      <c r="B111" s="34"/>
      <c r="C111" s="21"/>
      <c r="D111" s="24"/>
      <c r="E111" s="24"/>
      <c r="F111" s="25"/>
      <c r="G111" s="57">
        <f t="shared" si="6"/>
        <v>0</v>
      </c>
      <c r="H111" s="58">
        <f t="shared" si="7"/>
        <v>9608.7800000000007</v>
      </c>
    </row>
    <row r="112" spans="1:8" ht="22.5" customHeight="1">
      <c r="A112" s="23"/>
      <c r="B112" s="34"/>
      <c r="C112" s="21"/>
      <c r="D112" s="24"/>
      <c r="E112" s="24"/>
      <c r="F112" s="25"/>
      <c r="G112" s="57">
        <f t="shared" si="6"/>
        <v>0</v>
      </c>
      <c r="H112" s="58">
        <f t="shared" si="7"/>
        <v>9608.7800000000007</v>
      </c>
    </row>
    <row r="113" spans="1:8" ht="22.5" customHeight="1">
      <c r="A113" s="23"/>
      <c r="B113" s="34"/>
      <c r="C113" s="21"/>
      <c r="D113" s="24"/>
      <c r="E113" s="24"/>
      <c r="F113" s="25"/>
      <c r="G113" s="57">
        <f t="shared" si="6"/>
        <v>0</v>
      </c>
      <c r="H113" s="58">
        <f t="shared" si="7"/>
        <v>9608.7800000000007</v>
      </c>
    </row>
    <row r="114" spans="1:8" ht="22.5" customHeight="1">
      <c r="A114" s="23"/>
      <c r="B114" s="34"/>
      <c r="C114" s="21"/>
      <c r="D114" s="24"/>
      <c r="E114" s="24"/>
      <c r="F114" s="25"/>
      <c r="G114" s="57">
        <f t="shared" si="6"/>
        <v>0</v>
      </c>
      <c r="H114" s="58">
        <f t="shared" si="7"/>
        <v>9608.7800000000007</v>
      </c>
    </row>
    <row r="115" spans="1:8" ht="22.5" customHeight="1">
      <c r="A115" s="23"/>
      <c r="B115" s="34"/>
      <c r="C115" s="21"/>
      <c r="D115" s="24"/>
      <c r="E115" s="24"/>
      <c r="F115" s="25"/>
      <c r="G115" s="57">
        <f t="shared" si="6"/>
        <v>0</v>
      </c>
      <c r="H115" s="58">
        <f t="shared" si="7"/>
        <v>9608.7800000000007</v>
      </c>
    </row>
    <row r="116" spans="1:8" ht="22.5" customHeight="1">
      <c r="A116" s="23"/>
      <c r="B116" s="34"/>
      <c r="C116" s="21"/>
      <c r="D116" s="24"/>
      <c r="E116" s="24"/>
      <c r="F116" s="25"/>
      <c r="G116" s="57">
        <f t="shared" si="6"/>
        <v>0</v>
      </c>
      <c r="H116" s="58">
        <f t="shared" si="7"/>
        <v>9608.7800000000007</v>
      </c>
    </row>
    <row r="117" spans="1:8" ht="22.5" customHeight="1">
      <c r="A117" s="23"/>
      <c r="B117" s="34"/>
      <c r="C117" s="21"/>
      <c r="D117" s="24"/>
      <c r="E117" s="24"/>
      <c r="F117" s="25"/>
      <c r="G117" s="57">
        <f t="shared" si="6"/>
        <v>0</v>
      </c>
      <c r="H117" s="58">
        <f t="shared" si="7"/>
        <v>9608.7800000000007</v>
      </c>
    </row>
    <row r="118" spans="1:8" ht="22.5" customHeight="1">
      <c r="A118" s="23"/>
      <c r="B118" s="34"/>
      <c r="C118" s="21"/>
      <c r="D118" s="24"/>
      <c r="E118" s="24"/>
      <c r="F118" s="25"/>
      <c r="G118" s="57">
        <f t="shared" si="6"/>
        <v>0</v>
      </c>
      <c r="H118" s="58">
        <f t="shared" si="7"/>
        <v>9608.7800000000007</v>
      </c>
    </row>
    <row r="119" spans="1:8" ht="22.5" customHeight="1">
      <c r="A119" s="23"/>
      <c r="B119" s="34"/>
      <c r="C119" s="21"/>
      <c r="D119" s="24"/>
      <c r="E119" s="24"/>
      <c r="F119" s="25"/>
      <c r="G119" s="57">
        <f t="shared" si="6"/>
        <v>0</v>
      </c>
      <c r="H119" s="58">
        <f t="shared" si="7"/>
        <v>9608.7800000000007</v>
      </c>
    </row>
    <row r="120" spans="1:8" ht="22.5" customHeight="1">
      <c r="A120" s="23"/>
      <c r="B120" s="34"/>
      <c r="C120" s="21"/>
      <c r="D120" s="24"/>
      <c r="E120" s="24"/>
      <c r="F120" s="25"/>
      <c r="G120" s="57">
        <f t="shared" si="6"/>
        <v>0</v>
      </c>
      <c r="H120" s="58">
        <f t="shared" si="7"/>
        <v>9608.7800000000007</v>
      </c>
    </row>
    <row r="121" spans="1:8" ht="22.5" customHeight="1">
      <c r="A121" s="23"/>
      <c r="B121" s="34"/>
      <c r="C121" s="21"/>
      <c r="D121" s="24"/>
      <c r="E121" s="24"/>
      <c r="F121" s="25"/>
      <c r="G121" s="57">
        <f t="shared" si="6"/>
        <v>0</v>
      </c>
      <c r="H121" s="58">
        <f t="shared" si="7"/>
        <v>9608.7800000000007</v>
      </c>
    </row>
    <row r="122" spans="1:8" ht="22.5" customHeight="1">
      <c r="A122" s="23"/>
      <c r="B122" s="34"/>
      <c r="C122" s="21"/>
      <c r="D122" s="24"/>
      <c r="E122" s="24"/>
      <c r="F122" s="25"/>
      <c r="G122" s="57">
        <f t="shared" si="6"/>
        <v>0</v>
      </c>
      <c r="H122" s="58">
        <f t="shared" si="7"/>
        <v>9608.7800000000007</v>
      </c>
    </row>
    <row r="123" spans="1:8" ht="22.5" customHeight="1">
      <c r="A123" s="23"/>
      <c r="B123" s="34"/>
      <c r="C123" s="21"/>
      <c r="D123" s="24"/>
      <c r="E123" s="24"/>
      <c r="F123" s="25"/>
      <c r="G123" s="57">
        <f t="shared" si="6"/>
        <v>0</v>
      </c>
      <c r="H123" s="58">
        <f t="shared" si="7"/>
        <v>9608.7800000000007</v>
      </c>
    </row>
    <row r="124" spans="1:8" ht="22.5" customHeight="1">
      <c r="A124" s="23"/>
      <c r="B124" s="34"/>
      <c r="C124" s="21"/>
      <c r="D124" s="24"/>
      <c r="E124" s="24"/>
      <c r="F124" s="25"/>
      <c r="G124" s="57">
        <f t="shared" si="6"/>
        <v>0</v>
      </c>
      <c r="H124" s="58">
        <f t="shared" si="7"/>
        <v>9608.7800000000007</v>
      </c>
    </row>
    <row r="125" spans="1:8" ht="22.5" customHeight="1">
      <c r="A125" s="23"/>
      <c r="B125" s="34"/>
      <c r="C125" s="21"/>
      <c r="D125" s="24"/>
      <c r="E125" s="24"/>
      <c r="F125" s="25"/>
      <c r="G125" s="57">
        <f t="shared" si="6"/>
        <v>0</v>
      </c>
      <c r="H125" s="58">
        <f t="shared" si="7"/>
        <v>9608.7800000000007</v>
      </c>
    </row>
    <row r="126" spans="1:8" ht="22.5" customHeight="1">
      <c r="A126" s="23"/>
      <c r="B126" s="34"/>
      <c r="C126" s="21"/>
      <c r="D126" s="24"/>
      <c r="E126" s="24"/>
      <c r="F126" s="25"/>
      <c r="G126" s="57">
        <f t="shared" si="6"/>
        <v>0</v>
      </c>
      <c r="H126" s="58">
        <f t="shared" si="7"/>
        <v>9608.7800000000007</v>
      </c>
    </row>
    <row r="127" spans="1:8" ht="22.5" customHeight="1">
      <c r="A127" s="23"/>
      <c r="B127" s="34"/>
      <c r="C127" s="21"/>
      <c r="D127" s="24"/>
      <c r="E127" s="24"/>
      <c r="F127" s="25"/>
      <c r="G127" s="57">
        <f t="shared" si="6"/>
        <v>0</v>
      </c>
      <c r="H127" s="58">
        <f t="shared" si="7"/>
        <v>9608.7800000000007</v>
      </c>
    </row>
    <row r="128" spans="1:8" ht="22.5" customHeight="1">
      <c r="A128" s="23"/>
      <c r="B128" s="34"/>
      <c r="C128" s="21"/>
      <c r="D128" s="24"/>
      <c r="E128" s="24"/>
      <c r="F128" s="25"/>
      <c r="G128" s="57">
        <f t="shared" si="6"/>
        <v>0</v>
      </c>
      <c r="H128" s="58">
        <f t="shared" si="7"/>
        <v>9608.7800000000007</v>
      </c>
    </row>
    <row r="129" spans="1:8" ht="22.5" customHeight="1">
      <c r="A129" s="23"/>
      <c r="B129" s="34"/>
      <c r="C129" s="21"/>
      <c r="D129" s="24"/>
      <c r="E129" s="24"/>
      <c r="F129" s="25"/>
      <c r="G129" s="57">
        <f t="shared" si="6"/>
        <v>0</v>
      </c>
      <c r="H129" s="58">
        <f t="shared" si="7"/>
        <v>9608.7800000000007</v>
      </c>
    </row>
    <row r="130" spans="1:8" ht="22.5" customHeight="1">
      <c r="A130" s="23"/>
      <c r="B130" s="34"/>
      <c r="C130" s="21"/>
      <c r="D130" s="24"/>
      <c r="E130" s="24"/>
      <c r="F130" s="25"/>
      <c r="G130" s="57">
        <f t="shared" si="6"/>
        <v>0</v>
      </c>
      <c r="H130" s="58">
        <f t="shared" si="7"/>
        <v>9608.7800000000007</v>
      </c>
    </row>
    <row r="131" spans="1:8" ht="22.5" customHeight="1">
      <c r="A131" s="23"/>
      <c r="B131" s="34"/>
      <c r="C131" s="21"/>
      <c r="D131" s="24"/>
      <c r="E131" s="24"/>
      <c r="F131" s="25"/>
      <c r="G131" s="57">
        <f t="shared" si="6"/>
        <v>0</v>
      </c>
      <c r="H131" s="58">
        <f t="shared" si="7"/>
        <v>9608.7800000000007</v>
      </c>
    </row>
    <row r="132" spans="1:8" ht="22.5" customHeight="1">
      <c r="A132" s="23"/>
      <c r="B132" s="34"/>
      <c r="C132" s="21"/>
      <c r="D132" s="24"/>
      <c r="E132" s="24"/>
      <c r="F132" s="25"/>
      <c r="G132" s="57">
        <f t="shared" si="6"/>
        <v>0</v>
      </c>
      <c r="H132" s="58">
        <f t="shared" si="7"/>
        <v>9608.7800000000007</v>
      </c>
    </row>
    <row r="133" spans="1:8" ht="22.5" customHeight="1">
      <c r="A133" s="23"/>
      <c r="B133" s="34"/>
      <c r="C133" s="21"/>
      <c r="D133" s="24"/>
      <c r="E133" s="24"/>
      <c r="F133" s="25"/>
      <c r="G133" s="57">
        <f t="shared" si="6"/>
        <v>0</v>
      </c>
      <c r="H133" s="58">
        <f t="shared" si="7"/>
        <v>9608.7800000000007</v>
      </c>
    </row>
    <row r="134" spans="1:8" ht="22.5" customHeight="1">
      <c r="A134" s="23"/>
      <c r="B134" s="34"/>
      <c r="C134" s="21"/>
      <c r="D134" s="24"/>
      <c r="E134" s="24"/>
      <c r="F134" s="25"/>
      <c r="G134" s="57">
        <f t="shared" si="6"/>
        <v>0</v>
      </c>
      <c r="H134" s="58">
        <f t="shared" si="7"/>
        <v>9608.7800000000007</v>
      </c>
    </row>
    <row r="135" spans="1:8" ht="22.5" customHeight="1">
      <c r="A135" s="23"/>
      <c r="B135" s="34"/>
      <c r="C135" s="21"/>
      <c r="D135" s="24"/>
      <c r="E135" s="24"/>
      <c r="F135" s="25"/>
      <c r="G135" s="57">
        <f t="shared" ref="G135:G166" si="8">IF(A135="Despesas",E135*-1,IF(A135="Receitas",E135,0))</f>
        <v>0</v>
      </c>
      <c r="H135" s="58">
        <f t="shared" ref="H135:H166" si="9">H134+G135</f>
        <v>9608.7800000000007</v>
      </c>
    </row>
    <row r="136" spans="1:8" ht="22.5" customHeight="1">
      <c r="A136" s="23"/>
      <c r="B136" s="34"/>
      <c r="C136" s="21"/>
      <c r="D136" s="24"/>
      <c r="E136" s="24"/>
      <c r="F136" s="25"/>
      <c r="G136" s="57">
        <f t="shared" si="8"/>
        <v>0</v>
      </c>
      <c r="H136" s="58">
        <f t="shared" si="9"/>
        <v>9608.7800000000007</v>
      </c>
    </row>
    <row r="137" spans="1:8" ht="22.5" customHeight="1">
      <c r="A137" s="23"/>
      <c r="B137" s="34"/>
      <c r="C137" s="21"/>
      <c r="D137" s="24"/>
      <c r="E137" s="24"/>
      <c r="F137" s="25"/>
      <c r="G137" s="57">
        <f t="shared" si="8"/>
        <v>0</v>
      </c>
      <c r="H137" s="58">
        <f t="shared" si="9"/>
        <v>9608.7800000000007</v>
      </c>
    </row>
    <row r="138" spans="1:8" ht="22.5" customHeight="1">
      <c r="A138" s="23"/>
      <c r="B138" s="34"/>
      <c r="C138" s="21"/>
      <c r="D138" s="24"/>
      <c r="E138" s="24"/>
      <c r="F138" s="25"/>
      <c r="G138" s="57">
        <f t="shared" si="8"/>
        <v>0</v>
      </c>
      <c r="H138" s="58">
        <f t="shared" si="9"/>
        <v>9608.7800000000007</v>
      </c>
    </row>
    <row r="139" spans="1:8" ht="22.5" customHeight="1">
      <c r="A139" s="23"/>
      <c r="B139" s="34"/>
      <c r="C139" s="21"/>
      <c r="D139" s="24"/>
      <c r="E139" s="24"/>
      <c r="F139" s="25"/>
      <c r="G139" s="57">
        <f t="shared" si="8"/>
        <v>0</v>
      </c>
      <c r="H139" s="58">
        <f t="shared" si="9"/>
        <v>9608.7800000000007</v>
      </c>
    </row>
    <row r="140" spans="1:8" ht="22.5" customHeight="1">
      <c r="A140" s="23"/>
      <c r="B140" s="34"/>
      <c r="C140" s="21"/>
      <c r="D140" s="24"/>
      <c r="E140" s="24"/>
      <c r="F140" s="25"/>
      <c r="G140" s="57">
        <f t="shared" si="8"/>
        <v>0</v>
      </c>
      <c r="H140" s="58">
        <f t="shared" si="9"/>
        <v>9608.7800000000007</v>
      </c>
    </row>
    <row r="141" spans="1:8" ht="22.5" customHeight="1">
      <c r="A141" s="23"/>
      <c r="B141" s="34"/>
      <c r="C141" s="21"/>
      <c r="D141" s="24"/>
      <c r="E141" s="24"/>
      <c r="F141" s="25"/>
      <c r="G141" s="57">
        <f t="shared" si="8"/>
        <v>0</v>
      </c>
      <c r="H141" s="58">
        <f t="shared" si="9"/>
        <v>9608.7800000000007</v>
      </c>
    </row>
    <row r="142" spans="1:8" ht="22.5" customHeight="1">
      <c r="A142" s="23"/>
      <c r="B142" s="34"/>
      <c r="C142" s="21"/>
      <c r="D142" s="24"/>
      <c r="E142" s="24"/>
      <c r="F142" s="25"/>
      <c r="G142" s="57">
        <f t="shared" si="8"/>
        <v>0</v>
      </c>
      <c r="H142" s="58">
        <f t="shared" si="9"/>
        <v>9608.7800000000007</v>
      </c>
    </row>
    <row r="143" spans="1:8" ht="22.5" customHeight="1">
      <c r="A143" s="23"/>
      <c r="B143" s="34"/>
      <c r="C143" s="21"/>
      <c r="D143" s="24"/>
      <c r="E143" s="24"/>
      <c r="F143" s="25"/>
      <c r="G143" s="57">
        <f t="shared" si="8"/>
        <v>0</v>
      </c>
      <c r="H143" s="58">
        <f t="shared" ref="H143:H206" si="10">H142+G143</f>
        <v>9608.7800000000007</v>
      </c>
    </row>
    <row r="144" spans="1:8" ht="22.5" customHeight="1">
      <c r="A144" s="23"/>
      <c r="B144" s="34"/>
      <c r="C144" s="21"/>
      <c r="D144" s="24"/>
      <c r="E144" s="24"/>
      <c r="F144" s="25"/>
      <c r="G144" s="57">
        <f t="shared" si="8"/>
        <v>0</v>
      </c>
      <c r="H144" s="58">
        <f t="shared" si="10"/>
        <v>9608.7800000000007</v>
      </c>
    </row>
    <row r="145" spans="1:8" ht="22.5" customHeight="1">
      <c r="A145" s="23"/>
      <c r="B145" s="34"/>
      <c r="C145" s="21"/>
      <c r="D145" s="24"/>
      <c r="E145" s="24"/>
      <c r="F145" s="25"/>
      <c r="G145" s="57">
        <f t="shared" si="8"/>
        <v>0</v>
      </c>
      <c r="H145" s="58">
        <f t="shared" si="10"/>
        <v>9608.7800000000007</v>
      </c>
    </row>
    <row r="146" spans="1:8" ht="22.5" customHeight="1">
      <c r="A146" s="23"/>
      <c r="B146" s="34"/>
      <c r="C146" s="21"/>
      <c r="D146" s="24"/>
      <c r="E146" s="24"/>
      <c r="F146" s="25"/>
      <c r="G146" s="57">
        <f t="shared" si="8"/>
        <v>0</v>
      </c>
      <c r="H146" s="58">
        <f t="shared" si="10"/>
        <v>9608.7800000000007</v>
      </c>
    </row>
    <row r="147" spans="1:8" ht="22.5" customHeight="1">
      <c r="A147" s="23"/>
      <c r="B147" s="34"/>
      <c r="C147" s="21"/>
      <c r="D147" s="24"/>
      <c r="E147" s="24"/>
      <c r="F147" s="25"/>
      <c r="G147" s="57">
        <f t="shared" si="8"/>
        <v>0</v>
      </c>
      <c r="H147" s="58">
        <f t="shared" si="10"/>
        <v>9608.7800000000007</v>
      </c>
    </row>
    <row r="148" spans="1:8" ht="22.5" customHeight="1">
      <c r="A148" s="23"/>
      <c r="B148" s="34"/>
      <c r="C148" s="21"/>
      <c r="D148" s="24"/>
      <c r="E148" s="24"/>
      <c r="F148" s="25"/>
      <c r="G148" s="57">
        <f t="shared" si="8"/>
        <v>0</v>
      </c>
      <c r="H148" s="58">
        <f t="shared" si="10"/>
        <v>9608.7800000000007</v>
      </c>
    </row>
    <row r="149" spans="1:8" ht="22.5" customHeight="1">
      <c r="A149" s="23"/>
      <c r="B149" s="34"/>
      <c r="C149" s="21"/>
      <c r="D149" s="24"/>
      <c r="E149" s="24"/>
      <c r="F149" s="25"/>
      <c r="G149" s="57">
        <f t="shared" si="8"/>
        <v>0</v>
      </c>
      <c r="H149" s="58">
        <f t="shared" si="10"/>
        <v>9608.7800000000007</v>
      </c>
    </row>
    <row r="150" spans="1:8" ht="22.5" customHeight="1">
      <c r="A150" s="23"/>
      <c r="B150" s="34"/>
      <c r="C150" s="21"/>
      <c r="D150" s="24"/>
      <c r="E150" s="24"/>
      <c r="F150" s="25"/>
      <c r="G150" s="57">
        <f t="shared" si="8"/>
        <v>0</v>
      </c>
      <c r="H150" s="58">
        <f t="shared" si="10"/>
        <v>9608.7800000000007</v>
      </c>
    </row>
    <row r="151" spans="1:8" ht="22.5" customHeight="1">
      <c r="A151" s="23"/>
      <c r="B151" s="34"/>
      <c r="C151" s="21"/>
      <c r="D151" s="24"/>
      <c r="E151" s="24"/>
      <c r="F151" s="25"/>
      <c r="G151" s="57">
        <f t="shared" si="8"/>
        <v>0</v>
      </c>
      <c r="H151" s="58">
        <f t="shared" si="10"/>
        <v>9608.7800000000007</v>
      </c>
    </row>
    <row r="152" spans="1:8" ht="22.5" customHeight="1">
      <c r="A152" s="23"/>
      <c r="B152" s="34"/>
      <c r="C152" s="21"/>
      <c r="D152" s="24"/>
      <c r="E152" s="24"/>
      <c r="F152" s="25"/>
      <c r="G152" s="57">
        <f t="shared" si="8"/>
        <v>0</v>
      </c>
      <c r="H152" s="58">
        <f t="shared" si="10"/>
        <v>9608.7800000000007</v>
      </c>
    </row>
    <row r="153" spans="1:8" ht="22.5" customHeight="1">
      <c r="A153" s="23"/>
      <c r="B153" s="34"/>
      <c r="C153" s="21"/>
      <c r="D153" s="24"/>
      <c r="E153" s="24"/>
      <c r="F153" s="25"/>
      <c r="G153" s="57">
        <f t="shared" si="8"/>
        <v>0</v>
      </c>
      <c r="H153" s="58">
        <f t="shared" si="10"/>
        <v>9608.7800000000007</v>
      </c>
    </row>
    <row r="154" spans="1:8" ht="22.5" customHeight="1">
      <c r="A154" s="23"/>
      <c r="B154" s="34"/>
      <c r="C154" s="21"/>
      <c r="D154" s="24"/>
      <c r="E154" s="24"/>
      <c r="F154" s="25"/>
      <c r="G154" s="57">
        <f t="shared" si="8"/>
        <v>0</v>
      </c>
      <c r="H154" s="58">
        <f t="shared" si="10"/>
        <v>9608.7800000000007</v>
      </c>
    </row>
    <row r="155" spans="1:8" ht="22.5" customHeight="1">
      <c r="A155" s="23"/>
      <c r="B155" s="34"/>
      <c r="C155" s="21"/>
      <c r="D155" s="24"/>
      <c r="E155" s="24"/>
      <c r="F155" s="25"/>
      <c r="G155" s="57">
        <f t="shared" si="8"/>
        <v>0</v>
      </c>
      <c r="H155" s="58">
        <f t="shared" si="10"/>
        <v>9608.7800000000007</v>
      </c>
    </row>
    <row r="156" spans="1:8" ht="22.5" customHeight="1">
      <c r="A156" s="23"/>
      <c r="B156" s="34"/>
      <c r="C156" s="21"/>
      <c r="D156" s="24"/>
      <c r="E156" s="24"/>
      <c r="F156" s="25"/>
      <c r="G156" s="57">
        <f t="shared" si="8"/>
        <v>0</v>
      </c>
      <c r="H156" s="58">
        <f t="shared" si="10"/>
        <v>9608.7800000000007</v>
      </c>
    </row>
    <row r="157" spans="1:8" ht="22.5" customHeight="1">
      <c r="A157" s="23"/>
      <c r="B157" s="34"/>
      <c r="C157" s="21"/>
      <c r="D157" s="24"/>
      <c r="E157" s="24"/>
      <c r="F157" s="25"/>
      <c r="G157" s="57">
        <f t="shared" si="8"/>
        <v>0</v>
      </c>
      <c r="H157" s="58">
        <f t="shared" si="10"/>
        <v>9608.7800000000007</v>
      </c>
    </row>
    <row r="158" spans="1:8" ht="22.5" customHeight="1">
      <c r="A158" s="23"/>
      <c r="B158" s="34"/>
      <c r="C158" s="21"/>
      <c r="D158" s="24"/>
      <c r="E158" s="24"/>
      <c r="F158" s="25"/>
      <c r="G158" s="57">
        <f t="shared" si="8"/>
        <v>0</v>
      </c>
      <c r="H158" s="58">
        <f t="shared" si="10"/>
        <v>9608.7800000000007</v>
      </c>
    </row>
    <row r="159" spans="1:8" ht="22.5" customHeight="1">
      <c r="A159" s="23"/>
      <c r="B159" s="34"/>
      <c r="C159" s="21"/>
      <c r="D159" s="24"/>
      <c r="E159" s="24"/>
      <c r="F159" s="25"/>
      <c r="G159" s="57">
        <f t="shared" si="8"/>
        <v>0</v>
      </c>
      <c r="H159" s="58">
        <f t="shared" si="10"/>
        <v>9608.7800000000007</v>
      </c>
    </row>
    <row r="160" spans="1:8" ht="22.5" customHeight="1">
      <c r="A160" s="23"/>
      <c r="B160" s="34"/>
      <c r="C160" s="21"/>
      <c r="D160" s="24"/>
      <c r="E160" s="24"/>
      <c r="F160" s="25"/>
      <c r="G160" s="57">
        <f t="shared" si="8"/>
        <v>0</v>
      </c>
      <c r="H160" s="58">
        <f t="shared" si="10"/>
        <v>9608.7800000000007</v>
      </c>
    </row>
    <row r="161" spans="1:8" ht="22.5" customHeight="1">
      <c r="A161" s="23"/>
      <c r="B161" s="34"/>
      <c r="C161" s="21"/>
      <c r="D161" s="24"/>
      <c r="E161" s="24"/>
      <c r="F161" s="25"/>
      <c r="G161" s="57">
        <f t="shared" si="8"/>
        <v>0</v>
      </c>
      <c r="H161" s="58">
        <f t="shared" si="10"/>
        <v>9608.7800000000007</v>
      </c>
    </row>
    <row r="162" spans="1:8" ht="22.5" customHeight="1">
      <c r="A162" s="23"/>
      <c r="B162" s="34"/>
      <c r="C162" s="21"/>
      <c r="D162" s="24"/>
      <c r="E162" s="24"/>
      <c r="F162" s="25"/>
      <c r="G162" s="57">
        <f t="shared" si="8"/>
        <v>0</v>
      </c>
      <c r="H162" s="58">
        <f t="shared" si="10"/>
        <v>9608.7800000000007</v>
      </c>
    </row>
    <row r="163" spans="1:8" ht="22.5" customHeight="1">
      <c r="A163" s="23"/>
      <c r="B163" s="34"/>
      <c r="C163" s="21"/>
      <c r="D163" s="24"/>
      <c r="E163" s="24"/>
      <c r="F163" s="25"/>
      <c r="G163" s="57">
        <f t="shared" si="8"/>
        <v>0</v>
      </c>
      <c r="H163" s="58">
        <f t="shared" si="10"/>
        <v>9608.7800000000007</v>
      </c>
    </row>
    <row r="164" spans="1:8" ht="22.5" customHeight="1">
      <c r="A164" s="23"/>
      <c r="B164" s="34"/>
      <c r="C164" s="21"/>
      <c r="D164" s="24"/>
      <c r="E164" s="24"/>
      <c r="F164" s="25"/>
      <c r="G164" s="57">
        <f t="shared" si="8"/>
        <v>0</v>
      </c>
      <c r="H164" s="58">
        <f t="shared" si="10"/>
        <v>9608.7800000000007</v>
      </c>
    </row>
    <row r="165" spans="1:8" ht="22.5" customHeight="1">
      <c r="A165" s="23"/>
      <c r="B165" s="34"/>
      <c r="C165" s="21"/>
      <c r="D165" s="24"/>
      <c r="E165" s="24"/>
      <c r="F165" s="25"/>
      <c r="G165" s="57">
        <f t="shared" si="8"/>
        <v>0</v>
      </c>
      <c r="H165" s="58">
        <f t="shared" si="10"/>
        <v>9608.7800000000007</v>
      </c>
    </row>
    <row r="166" spans="1:8" ht="22.5" customHeight="1">
      <c r="A166" s="23"/>
      <c r="B166" s="34"/>
      <c r="C166" s="21"/>
      <c r="D166" s="24"/>
      <c r="E166" s="24"/>
      <c r="F166" s="25"/>
      <c r="G166" s="57">
        <f t="shared" si="8"/>
        <v>0</v>
      </c>
      <c r="H166" s="58">
        <f t="shared" si="10"/>
        <v>9608.7800000000007</v>
      </c>
    </row>
    <row r="167" spans="1:8" ht="22.5" customHeight="1">
      <c r="A167" s="23"/>
      <c r="B167" s="34"/>
      <c r="C167" s="21"/>
      <c r="D167" s="24"/>
      <c r="E167" s="24"/>
      <c r="F167" s="25"/>
      <c r="G167" s="57">
        <f t="shared" ref="G167:G198" si="11">IF(A167="Despesas",E167*-1,IF(A167="Receitas",E167,0))</f>
        <v>0</v>
      </c>
      <c r="H167" s="58">
        <f t="shared" si="10"/>
        <v>9608.7800000000007</v>
      </c>
    </row>
    <row r="168" spans="1:8" ht="22.5" customHeight="1">
      <c r="A168" s="23"/>
      <c r="B168" s="34"/>
      <c r="C168" s="21"/>
      <c r="D168" s="24"/>
      <c r="E168" s="24"/>
      <c r="F168" s="25"/>
      <c r="G168" s="57">
        <f t="shared" si="11"/>
        <v>0</v>
      </c>
      <c r="H168" s="58">
        <f t="shared" si="10"/>
        <v>9608.7800000000007</v>
      </c>
    </row>
    <row r="169" spans="1:8" ht="22.5" customHeight="1">
      <c r="A169" s="23"/>
      <c r="B169" s="34"/>
      <c r="C169" s="21"/>
      <c r="D169" s="24"/>
      <c r="E169" s="24"/>
      <c r="F169" s="25"/>
      <c r="G169" s="57">
        <f t="shared" si="11"/>
        <v>0</v>
      </c>
      <c r="H169" s="58">
        <f t="shared" si="10"/>
        <v>9608.7800000000007</v>
      </c>
    </row>
    <row r="170" spans="1:8" ht="22.5" customHeight="1">
      <c r="A170" s="23"/>
      <c r="B170" s="34"/>
      <c r="C170" s="21"/>
      <c r="D170" s="24"/>
      <c r="E170" s="24"/>
      <c r="F170" s="25"/>
      <c r="G170" s="57">
        <f t="shared" si="11"/>
        <v>0</v>
      </c>
      <c r="H170" s="58">
        <f t="shared" si="10"/>
        <v>9608.7800000000007</v>
      </c>
    </row>
    <row r="171" spans="1:8" ht="22.5" customHeight="1">
      <c r="A171" s="23"/>
      <c r="B171" s="34"/>
      <c r="C171" s="21"/>
      <c r="D171" s="24"/>
      <c r="E171" s="24"/>
      <c r="F171" s="25"/>
      <c r="G171" s="57">
        <f t="shared" si="11"/>
        <v>0</v>
      </c>
      <c r="H171" s="58">
        <f t="shared" si="10"/>
        <v>9608.7800000000007</v>
      </c>
    </row>
    <row r="172" spans="1:8" ht="22.5" customHeight="1">
      <c r="A172" s="23"/>
      <c r="B172" s="34"/>
      <c r="C172" s="21"/>
      <c r="D172" s="24"/>
      <c r="E172" s="24"/>
      <c r="F172" s="25"/>
      <c r="G172" s="57">
        <f t="shared" si="11"/>
        <v>0</v>
      </c>
      <c r="H172" s="58">
        <f t="shared" si="10"/>
        <v>9608.7800000000007</v>
      </c>
    </row>
    <row r="173" spans="1:8" ht="22.5" customHeight="1">
      <c r="A173" s="23"/>
      <c r="B173" s="34"/>
      <c r="C173" s="21"/>
      <c r="D173" s="24"/>
      <c r="E173" s="24"/>
      <c r="F173" s="25"/>
      <c r="G173" s="57">
        <f t="shared" si="11"/>
        <v>0</v>
      </c>
      <c r="H173" s="58">
        <f t="shared" si="10"/>
        <v>9608.7800000000007</v>
      </c>
    </row>
    <row r="174" spans="1:8" ht="22.5" customHeight="1">
      <c r="A174" s="23"/>
      <c r="B174" s="34"/>
      <c r="C174" s="21"/>
      <c r="D174" s="24"/>
      <c r="E174" s="24"/>
      <c r="F174" s="25"/>
      <c r="G174" s="57">
        <f t="shared" si="11"/>
        <v>0</v>
      </c>
      <c r="H174" s="58">
        <f t="shared" si="10"/>
        <v>9608.7800000000007</v>
      </c>
    </row>
    <row r="175" spans="1:8" ht="22.5" customHeight="1">
      <c r="A175" s="23"/>
      <c r="B175" s="34"/>
      <c r="C175" s="21"/>
      <c r="D175" s="24"/>
      <c r="E175" s="24"/>
      <c r="F175" s="25"/>
      <c r="G175" s="57">
        <f t="shared" si="11"/>
        <v>0</v>
      </c>
      <c r="H175" s="58">
        <f t="shared" si="10"/>
        <v>9608.7800000000007</v>
      </c>
    </row>
    <row r="176" spans="1:8" ht="22.5" customHeight="1">
      <c r="A176" s="23"/>
      <c r="B176" s="34"/>
      <c r="C176" s="21"/>
      <c r="D176" s="24"/>
      <c r="E176" s="24"/>
      <c r="F176" s="25"/>
      <c r="G176" s="57">
        <f t="shared" si="11"/>
        <v>0</v>
      </c>
      <c r="H176" s="58">
        <f t="shared" si="10"/>
        <v>9608.7800000000007</v>
      </c>
    </row>
    <row r="177" spans="1:8" ht="22.5" customHeight="1">
      <c r="A177" s="23"/>
      <c r="B177" s="34"/>
      <c r="C177" s="21"/>
      <c r="D177" s="24"/>
      <c r="E177" s="24"/>
      <c r="F177" s="25"/>
      <c r="G177" s="57">
        <f t="shared" si="11"/>
        <v>0</v>
      </c>
      <c r="H177" s="58">
        <f t="shared" si="10"/>
        <v>9608.7800000000007</v>
      </c>
    </row>
    <row r="178" spans="1:8" ht="22.5" customHeight="1">
      <c r="A178" s="23"/>
      <c r="B178" s="34"/>
      <c r="C178" s="21"/>
      <c r="D178" s="24"/>
      <c r="E178" s="24"/>
      <c r="F178" s="25"/>
      <c r="G178" s="57">
        <f t="shared" si="11"/>
        <v>0</v>
      </c>
      <c r="H178" s="58">
        <f t="shared" si="10"/>
        <v>9608.7800000000007</v>
      </c>
    </row>
    <row r="179" spans="1:8" ht="22.5" customHeight="1">
      <c r="A179" s="23"/>
      <c r="B179" s="34"/>
      <c r="C179" s="21"/>
      <c r="D179" s="24"/>
      <c r="E179" s="24"/>
      <c r="F179" s="25"/>
      <c r="G179" s="57">
        <f t="shared" si="11"/>
        <v>0</v>
      </c>
      <c r="H179" s="58">
        <f t="shared" si="10"/>
        <v>9608.7800000000007</v>
      </c>
    </row>
    <row r="180" spans="1:8" ht="22.5" customHeight="1">
      <c r="A180" s="23"/>
      <c r="B180" s="34"/>
      <c r="C180" s="21"/>
      <c r="D180" s="24"/>
      <c r="E180" s="24"/>
      <c r="F180" s="25"/>
      <c r="G180" s="57">
        <f t="shared" si="11"/>
        <v>0</v>
      </c>
      <c r="H180" s="58">
        <f t="shared" si="10"/>
        <v>9608.7800000000007</v>
      </c>
    </row>
    <row r="181" spans="1:8" ht="22.5" customHeight="1">
      <c r="A181" s="23"/>
      <c r="B181" s="34"/>
      <c r="C181" s="21"/>
      <c r="D181" s="24"/>
      <c r="E181" s="24"/>
      <c r="F181" s="25"/>
      <c r="G181" s="57">
        <f t="shared" si="11"/>
        <v>0</v>
      </c>
      <c r="H181" s="58">
        <f t="shared" si="10"/>
        <v>9608.7800000000007</v>
      </c>
    </row>
    <row r="182" spans="1:8" ht="22.5" customHeight="1">
      <c r="A182" s="23"/>
      <c r="B182" s="34"/>
      <c r="C182" s="21"/>
      <c r="D182" s="24"/>
      <c r="E182" s="24"/>
      <c r="F182" s="25"/>
      <c r="G182" s="57">
        <f t="shared" si="11"/>
        <v>0</v>
      </c>
      <c r="H182" s="58">
        <f t="shared" si="10"/>
        <v>9608.7800000000007</v>
      </c>
    </row>
    <row r="183" spans="1:8" ht="22.5" customHeight="1">
      <c r="A183" s="23"/>
      <c r="B183" s="34"/>
      <c r="C183" s="21"/>
      <c r="D183" s="24"/>
      <c r="E183" s="24"/>
      <c r="F183" s="25"/>
      <c r="G183" s="57">
        <f t="shared" si="11"/>
        <v>0</v>
      </c>
      <c r="H183" s="58">
        <f t="shared" si="10"/>
        <v>9608.7800000000007</v>
      </c>
    </row>
    <row r="184" spans="1:8" ht="22.5" customHeight="1">
      <c r="A184" s="23"/>
      <c r="B184" s="34"/>
      <c r="C184" s="21"/>
      <c r="D184" s="24"/>
      <c r="E184" s="24"/>
      <c r="F184" s="25"/>
      <c r="G184" s="57">
        <f t="shared" si="11"/>
        <v>0</v>
      </c>
      <c r="H184" s="58">
        <f t="shared" si="10"/>
        <v>9608.7800000000007</v>
      </c>
    </row>
    <row r="185" spans="1:8" ht="22.5" customHeight="1">
      <c r="A185" s="23"/>
      <c r="B185" s="34"/>
      <c r="C185" s="21"/>
      <c r="D185" s="24"/>
      <c r="E185" s="24"/>
      <c r="F185" s="25"/>
      <c r="G185" s="57">
        <f t="shared" si="11"/>
        <v>0</v>
      </c>
      <c r="H185" s="58">
        <f t="shared" si="10"/>
        <v>9608.7800000000007</v>
      </c>
    </row>
    <row r="186" spans="1:8" ht="22.5" customHeight="1">
      <c r="A186" s="23"/>
      <c r="B186" s="34"/>
      <c r="C186" s="21"/>
      <c r="D186" s="24"/>
      <c r="E186" s="24"/>
      <c r="F186" s="25"/>
      <c r="G186" s="57">
        <f t="shared" si="11"/>
        <v>0</v>
      </c>
      <c r="H186" s="58">
        <f t="shared" si="10"/>
        <v>9608.7800000000007</v>
      </c>
    </row>
    <row r="187" spans="1:8" ht="22.5" customHeight="1">
      <c r="A187" s="23"/>
      <c r="B187" s="34"/>
      <c r="C187" s="21"/>
      <c r="D187" s="24"/>
      <c r="E187" s="24"/>
      <c r="F187" s="25"/>
      <c r="G187" s="57">
        <f t="shared" si="11"/>
        <v>0</v>
      </c>
      <c r="H187" s="58">
        <f t="shared" si="10"/>
        <v>9608.7800000000007</v>
      </c>
    </row>
    <row r="188" spans="1:8" ht="22.5" customHeight="1">
      <c r="A188" s="23"/>
      <c r="B188" s="34"/>
      <c r="C188" s="21"/>
      <c r="D188" s="24"/>
      <c r="E188" s="24"/>
      <c r="F188" s="25"/>
      <c r="G188" s="57">
        <f t="shared" si="11"/>
        <v>0</v>
      </c>
      <c r="H188" s="58">
        <f t="shared" si="10"/>
        <v>9608.7800000000007</v>
      </c>
    </row>
    <row r="189" spans="1:8" ht="22.5" customHeight="1">
      <c r="A189" s="23"/>
      <c r="B189" s="34"/>
      <c r="C189" s="21"/>
      <c r="D189" s="24"/>
      <c r="E189" s="24"/>
      <c r="F189" s="25"/>
      <c r="G189" s="57">
        <f t="shared" si="11"/>
        <v>0</v>
      </c>
      <c r="H189" s="58">
        <f t="shared" si="10"/>
        <v>9608.7800000000007</v>
      </c>
    </row>
    <row r="190" spans="1:8" ht="22.5" customHeight="1">
      <c r="A190" s="23"/>
      <c r="B190" s="34"/>
      <c r="C190" s="21"/>
      <c r="D190" s="24"/>
      <c r="E190" s="24"/>
      <c r="F190" s="25"/>
      <c r="G190" s="57">
        <f t="shared" si="11"/>
        <v>0</v>
      </c>
      <c r="H190" s="58">
        <f t="shared" si="10"/>
        <v>9608.7800000000007</v>
      </c>
    </row>
    <row r="191" spans="1:8" ht="22.5" customHeight="1">
      <c r="A191" s="23"/>
      <c r="B191" s="34"/>
      <c r="C191" s="21"/>
      <c r="D191" s="24"/>
      <c r="E191" s="24"/>
      <c r="F191" s="25"/>
      <c r="G191" s="57">
        <f t="shared" si="11"/>
        <v>0</v>
      </c>
      <c r="H191" s="58">
        <f t="shared" si="10"/>
        <v>9608.7800000000007</v>
      </c>
    </row>
    <row r="192" spans="1:8" ht="22.5" customHeight="1">
      <c r="A192" s="23"/>
      <c r="B192" s="34"/>
      <c r="C192" s="21"/>
      <c r="D192" s="24"/>
      <c r="E192" s="24"/>
      <c r="F192" s="25"/>
      <c r="G192" s="57">
        <f t="shared" si="11"/>
        <v>0</v>
      </c>
      <c r="H192" s="58">
        <f t="shared" si="10"/>
        <v>9608.7800000000007</v>
      </c>
    </row>
    <row r="193" spans="1:8" ht="22.5" customHeight="1">
      <c r="A193" s="23"/>
      <c r="B193" s="34"/>
      <c r="C193" s="21"/>
      <c r="D193" s="24"/>
      <c r="E193" s="24"/>
      <c r="F193" s="25"/>
      <c r="G193" s="57">
        <f t="shared" si="11"/>
        <v>0</v>
      </c>
      <c r="H193" s="58">
        <f t="shared" si="10"/>
        <v>9608.7800000000007</v>
      </c>
    </row>
    <row r="194" spans="1:8" ht="22.5" customHeight="1">
      <c r="A194" s="23"/>
      <c r="B194" s="34"/>
      <c r="C194" s="21"/>
      <c r="D194" s="24"/>
      <c r="E194" s="24"/>
      <c r="F194" s="25"/>
      <c r="G194" s="57">
        <f t="shared" si="11"/>
        <v>0</v>
      </c>
      <c r="H194" s="58">
        <f t="shared" si="10"/>
        <v>9608.7800000000007</v>
      </c>
    </row>
    <row r="195" spans="1:8" ht="22.5" customHeight="1">
      <c r="A195" s="23"/>
      <c r="B195" s="34"/>
      <c r="C195" s="21"/>
      <c r="D195" s="24"/>
      <c r="E195" s="24"/>
      <c r="F195" s="25"/>
      <c r="G195" s="57">
        <f t="shared" si="11"/>
        <v>0</v>
      </c>
      <c r="H195" s="58">
        <f t="shared" si="10"/>
        <v>9608.7800000000007</v>
      </c>
    </row>
    <row r="196" spans="1:8" ht="22.5" customHeight="1">
      <c r="A196" s="23"/>
      <c r="B196" s="34"/>
      <c r="C196" s="21"/>
      <c r="D196" s="24"/>
      <c r="E196" s="24"/>
      <c r="F196" s="25"/>
      <c r="G196" s="57">
        <f t="shared" si="11"/>
        <v>0</v>
      </c>
      <c r="H196" s="58">
        <f t="shared" si="10"/>
        <v>9608.7800000000007</v>
      </c>
    </row>
    <row r="197" spans="1:8" ht="22.5" customHeight="1">
      <c r="A197" s="23"/>
      <c r="B197" s="34"/>
      <c r="C197" s="21"/>
      <c r="D197" s="24"/>
      <c r="E197" s="24"/>
      <c r="F197" s="25"/>
      <c r="G197" s="57">
        <f t="shared" si="11"/>
        <v>0</v>
      </c>
      <c r="H197" s="58">
        <f t="shared" si="10"/>
        <v>9608.7800000000007</v>
      </c>
    </row>
    <row r="198" spans="1:8" ht="22.5" customHeight="1">
      <c r="A198" s="23"/>
      <c r="B198" s="34"/>
      <c r="C198" s="21"/>
      <c r="D198" s="24"/>
      <c r="E198" s="24"/>
      <c r="F198" s="25"/>
      <c r="G198" s="57">
        <f t="shared" si="11"/>
        <v>0</v>
      </c>
      <c r="H198" s="58">
        <f t="shared" si="10"/>
        <v>9608.7800000000007</v>
      </c>
    </row>
    <row r="199" spans="1:8" ht="22.5" customHeight="1">
      <c r="A199" s="23"/>
      <c r="B199" s="34"/>
      <c r="C199" s="21"/>
      <c r="D199" s="24"/>
      <c r="E199" s="24"/>
      <c r="F199" s="25"/>
      <c r="G199" s="57">
        <f t="shared" ref="G199:G206" si="12">IF(A199="Despesas",E199*-1,IF(A199="Receitas",E199,0))</f>
        <v>0</v>
      </c>
      <c r="H199" s="58">
        <f t="shared" si="10"/>
        <v>9608.7800000000007</v>
      </c>
    </row>
    <row r="200" spans="1:8" ht="22.5" customHeight="1">
      <c r="A200" s="23"/>
      <c r="B200" s="34"/>
      <c r="C200" s="21"/>
      <c r="D200" s="24"/>
      <c r="E200" s="24"/>
      <c r="F200" s="25"/>
      <c r="G200" s="57">
        <f t="shared" si="12"/>
        <v>0</v>
      </c>
      <c r="H200" s="58">
        <f t="shared" si="10"/>
        <v>9608.7800000000007</v>
      </c>
    </row>
    <row r="201" spans="1:8" ht="22.5" customHeight="1">
      <c r="A201" s="23"/>
      <c r="B201" s="34"/>
      <c r="C201" s="21"/>
      <c r="D201" s="24"/>
      <c r="E201" s="24"/>
      <c r="F201" s="25"/>
      <c r="G201" s="57">
        <f t="shared" si="12"/>
        <v>0</v>
      </c>
      <c r="H201" s="58">
        <f t="shared" si="10"/>
        <v>9608.7800000000007</v>
      </c>
    </row>
    <row r="202" spans="1:8" ht="22.5" customHeight="1">
      <c r="A202" s="23"/>
      <c r="B202" s="34"/>
      <c r="C202" s="21"/>
      <c r="D202" s="24"/>
      <c r="E202" s="24"/>
      <c r="F202" s="25"/>
      <c r="G202" s="57">
        <f t="shared" si="12"/>
        <v>0</v>
      </c>
      <c r="H202" s="58">
        <f t="shared" si="10"/>
        <v>9608.7800000000007</v>
      </c>
    </row>
    <row r="203" spans="1:8" ht="22.5" customHeight="1">
      <c r="A203" s="23"/>
      <c r="B203" s="34"/>
      <c r="C203" s="21"/>
      <c r="D203" s="24"/>
      <c r="E203" s="24"/>
      <c r="F203" s="25"/>
      <c r="G203" s="57">
        <f t="shared" si="12"/>
        <v>0</v>
      </c>
      <c r="H203" s="58">
        <f t="shared" si="10"/>
        <v>9608.7800000000007</v>
      </c>
    </row>
    <row r="204" spans="1:8" ht="22.5" customHeight="1">
      <c r="A204" s="23"/>
      <c r="B204" s="34"/>
      <c r="C204" s="21"/>
      <c r="D204" s="24"/>
      <c r="E204" s="24"/>
      <c r="F204" s="25"/>
      <c r="G204" s="57">
        <f t="shared" si="12"/>
        <v>0</v>
      </c>
      <c r="H204" s="58">
        <f t="shared" si="10"/>
        <v>9608.7800000000007</v>
      </c>
    </row>
    <row r="205" spans="1:8" ht="22.5" customHeight="1">
      <c r="A205" s="23"/>
      <c r="B205" s="34"/>
      <c r="C205" s="21"/>
      <c r="D205" s="24"/>
      <c r="E205" s="24"/>
      <c r="F205" s="25"/>
      <c r="G205" s="57">
        <f t="shared" si="12"/>
        <v>0</v>
      </c>
      <c r="H205" s="58">
        <f t="shared" si="10"/>
        <v>9608.7800000000007</v>
      </c>
    </row>
    <row r="206" spans="1:8" ht="22.5" customHeight="1">
      <c r="A206" s="23"/>
      <c r="B206" s="34"/>
      <c r="C206" s="21"/>
      <c r="D206" s="24"/>
      <c r="E206" s="24"/>
      <c r="F206" s="25"/>
      <c r="G206" s="57">
        <f t="shared" si="12"/>
        <v>0</v>
      </c>
      <c r="H206" s="58">
        <f t="shared" si="10"/>
        <v>9608.7800000000007</v>
      </c>
    </row>
    <row r="207" spans="1:8" ht="22.5" customHeight="1">
      <c r="A207" s="54" t="s">
        <v>71</v>
      </c>
      <c r="B207" s="34" t="s">
        <v>72</v>
      </c>
      <c r="C207" s="54" t="s">
        <v>71</v>
      </c>
      <c r="D207" s="54" t="s">
        <v>71</v>
      </c>
      <c r="E207" s="54" t="s">
        <v>71</v>
      </c>
      <c r="F207" s="54" t="s">
        <v>71</v>
      </c>
      <c r="G207" s="59" t="s">
        <v>71</v>
      </c>
      <c r="H207" s="60" t="s">
        <v>72</v>
      </c>
    </row>
  </sheetData>
  <mergeCells count="4">
    <mergeCell ref="A1:A4"/>
    <mergeCell ref="C1:E3"/>
    <mergeCell ref="F1:F3"/>
    <mergeCell ref="H2:H3"/>
  </mergeCells>
  <conditionalFormatting sqref="H7:H207">
    <cfRule type="cellIs" dxfId="3" priority="1" operator="lessThan">
      <formula>0</formula>
    </cfRule>
  </conditionalFormatting>
  <dataValidations count="6">
    <dataValidation type="custom" allowBlank="1" showDropDown="1" sqref="F6:F206" xr:uid="{511783F7-A84C-4F39-99A2-610B07BDF7F2}">
      <formula1>OR(NOT(ISERROR(DATEVALUE(F6))), AND(ISNUMBER(F6), LEFT(CELL("format", F6))="D"))</formula1>
    </dataValidation>
    <dataValidation type="list" allowBlank="1" sqref="A7:A206 A6:B6" xr:uid="{5B988E99-3DE6-4200-B28D-2ED4DC17C587}">
      <formula1>"Receitas,Despesas"</formula1>
    </dataValidation>
    <dataValidation type="list" allowBlank="1" sqref="C207:G207 A207 C6" xr:uid="{1AC56C98-33B1-4AFA-8442-8B9797F8BE57}">
      <formula1>#REF!</formula1>
    </dataValidation>
    <dataValidation type="list" allowBlank="1" sqref="B207" xr:uid="{2E6FC079-2D86-4E02-BB1F-7F13575D244A}">
      <formula1>INDIRECT($A$7)</formula1>
    </dataValidation>
    <dataValidation type="list" allowBlank="1" sqref="B7:B206" xr:uid="{6AE1AAFC-0A1A-40F5-B2EF-4C99A9FDF5FB}">
      <formula1>INDIRECT(A7)</formula1>
    </dataValidation>
    <dataValidation type="list" allowBlank="1" sqref="C7:C206" xr:uid="{EE6C65AF-E22D-4297-B3AF-A18A86CD792C}">
      <formula1>Bancos</formula1>
    </dataValidation>
  </dataValidation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B1C8-4C55-49EF-A1DA-AB72E42CE270}">
  <sheetPr>
    <outlinePr summaryBelow="0" summaryRight="0"/>
  </sheetPr>
  <dimension ref="A1:J207"/>
  <sheetViews>
    <sheetView showGridLines="0" workbookViewId="0">
      <selection activeCell="F7" sqref="F7"/>
    </sheetView>
  </sheetViews>
  <sheetFormatPr defaultColWidth="12.5703125" defaultRowHeight="15.75" customHeight="1"/>
  <cols>
    <col min="1" max="1" width="9.28515625" style="27" bestFit="1" customWidth="1"/>
    <col min="2" max="2" width="30.85546875" style="27" bestFit="1" customWidth="1"/>
    <col min="3" max="3" width="20.85546875" style="27" bestFit="1" customWidth="1"/>
    <col min="4" max="4" width="13.85546875" style="27" bestFit="1" customWidth="1"/>
    <col min="5" max="5" width="11.7109375" bestFit="1" customWidth="1"/>
    <col min="6" max="6" width="16.28515625" style="27" customWidth="1"/>
    <col min="7" max="7" width="11.7109375" style="27" hidden="1" customWidth="1"/>
    <col min="8" max="8" width="22.5703125" style="33" bestFit="1" customWidth="1"/>
    <col min="9" max="10" width="12.5703125" style="27" hidden="1" customWidth="1"/>
  </cols>
  <sheetData>
    <row r="1" spans="1:8" ht="19.5" customHeight="1">
      <c r="A1" s="70"/>
      <c r="B1" s="13"/>
      <c r="C1" s="74" t="s">
        <v>62</v>
      </c>
      <c r="D1" s="66"/>
      <c r="E1" s="62"/>
      <c r="F1" s="73" t="s">
        <v>44</v>
      </c>
      <c r="G1" s="14"/>
      <c r="H1" s="35" t="s">
        <v>43</v>
      </c>
    </row>
    <row r="2" spans="1:8" ht="12.75" customHeight="1">
      <c r="A2" s="66"/>
      <c r="B2" s="15"/>
      <c r="C2" s="66"/>
      <c r="D2" s="66"/>
      <c r="E2" s="62"/>
      <c r="F2" s="73"/>
      <c r="G2" s="14"/>
      <c r="H2" s="72">
        <f>SET!H206</f>
        <v>9608.7800000000007</v>
      </c>
    </row>
    <row r="3" spans="1:8" ht="23.25" customHeight="1">
      <c r="A3" s="66"/>
      <c r="B3" s="12"/>
      <c r="C3" s="66"/>
      <c r="D3" s="66"/>
      <c r="E3" s="62"/>
      <c r="F3" s="73"/>
      <c r="G3" s="14"/>
      <c r="H3" s="72"/>
    </row>
    <row r="4" spans="1:8" ht="12.75">
      <c r="A4" s="66"/>
      <c r="B4" s="13"/>
      <c r="C4" s="16"/>
      <c r="D4" s="16"/>
      <c r="E4" s="16"/>
      <c r="F4" s="14"/>
      <c r="G4" s="14"/>
      <c r="H4" s="31"/>
    </row>
    <row r="5" spans="1:8" ht="22.5" customHeight="1">
      <c r="A5" s="28" t="s">
        <v>45</v>
      </c>
      <c r="B5" s="29" t="s">
        <v>46</v>
      </c>
      <c r="C5" s="30" t="s">
        <v>47</v>
      </c>
      <c r="D5" s="29" t="s">
        <v>48</v>
      </c>
      <c r="E5" s="36" t="s">
        <v>49</v>
      </c>
      <c r="F5" s="29" t="s">
        <v>50</v>
      </c>
      <c r="G5" s="32" t="s">
        <v>67</v>
      </c>
      <c r="H5" s="36" t="s">
        <v>51</v>
      </c>
    </row>
    <row r="6" spans="1:8" ht="22.5" customHeight="1">
      <c r="A6" s="26"/>
      <c r="B6" s="26"/>
      <c r="C6" s="26"/>
      <c r="D6" s="26" t="s">
        <v>52</v>
      </c>
      <c r="E6" s="17">
        <f>H2</f>
        <v>9608.7800000000007</v>
      </c>
      <c r="F6" s="18">
        <v>46295</v>
      </c>
      <c r="G6" s="55">
        <f>E6</f>
        <v>9608.7800000000007</v>
      </c>
      <c r="H6" s="56">
        <f>E6</f>
        <v>9608.7800000000007</v>
      </c>
    </row>
    <row r="7" spans="1:8" ht="22.5" customHeight="1">
      <c r="A7" s="34"/>
      <c r="B7" s="34"/>
      <c r="C7" s="21"/>
      <c r="D7" s="22"/>
      <c r="E7" s="22"/>
      <c r="F7" s="19"/>
      <c r="G7" s="57">
        <f t="shared" ref="G7:G38" si="0">IF(A7="Despesas",E7*-1,IF(A7="Receitas",E7,0))</f>
        <v>0</v>
      </c>
      <c r="H7" s="58">
        <f t="shared" ref="H7:H38" si="1">H6+G7</f>
        <v>9608.7800000000007</v>
      </c>
    </row>
    <row r="8" spans="1:8" ht="22.5" customHeight="1">
      <c r="A8" s="34"/>
      <c r="B8" s="34"/>
      <c r="C8" s="21"/>
      <c r="D8" s="22"/>
      <c r="E8" s="22"/>
      <c r="F8" s="20"/>
      <c r="G8" s="57">
        <f t="shared" si="0"/>
        <v>0</v>
      </c>
      <c r="H8" s="58">
        <f t="shared" si="1"/>
        <v>9608.7800000000007</v>
      </c>
    </row>
    <row r="9" spans="1:8" ht="22.5" customHeight="1">
      <c r="A9" s="21"/>
      <c r="B9" s="34"/>
      <c r="C9" s="21"/>
      <c r="D9" s="22"/>
      <c r="E9" s="22"/>
      <c r="F9" s="19"/>
      <c r="G9" s="57">
        <f t="shared" si="0"/>
        <v>0</v>
      </c>
      <c r="H9" s="58">
        <f t="shared" si="1"/>
        <v>9608.7800000000007</v>
      </c>
    </row>
    <row r="10" spans="1:8" ht="22.5" customHeight="1">
      <c r="A10" s="21"/>
      <c r="B10" s="34"/>
      <c r="C10" s="21"/>
      <c r="D10" s="22"/>
      <c r="E10" s="22"/>
      <c r="F10" s="20"/>
      <c r="G10" s="57">
        <f t="shared" si="0"/>
        <v>0</v>
      </c>
      <c r="H10" s="58">
        <f t="shared" si="1"/>
        <v>9608.7800000000007</v>
      </c>
    </row>
    <row r="11" spans="1:8" ht="22.5" customHeight="1">
      <c r="A11" s="21"/>
      <c r="B11" s="34"/>
      <c r="C11" s="21"/>
      <c r="D11" s="22"/>
      <c r="E11" s="22"/>
      <c r="F11" s="19"/>
      <c r="G11" s="57">
        <f t="shared" si="0"/>
        <v>0</v>
      </c>
      <c r="H11" s="58">
        <f t="shared" si="1"/>
        <v>9608.7800000000007</v>
      </c>
    </row>
    <row r="12" spans="1:8" ht="22.5" customHeight="1">
      <c r="A12" s="21"/>
      <c r="B12" s="34"/>
      <c r="C12" s="21"/>
      <c r="D12" s="22"/>
      <c r="E12" s="22"/>
      <c r="F12" s="20"/>
      <c r="G12" s="57">
        <f t="shared" si="0"/>
        <v>0</v>
      </c>
      <c r="H12" s="58">
        <f t="shared" si="1"/>
        <v>9608.7800000000007</v>
      </c>
    </row>
    <row r="13" spans="1:8" ht="22.5" customHeight="1">
      <c r="A13" s="21"/>
      <c r="B13" s="34"/>
      <c r="C13" s="21"/>
      <c r="D13" s="22"/>
      <c r="E13" s="22"/>
      <c r="F13" s="19"/>
      <c r="G13" s="57">
        <f t="shared" si="0"/>
        <v>0</v>
      </c>
      <c r="H13" s="58">
        <f t="shared" si="1"/>
        <v>9608.7800000000007</v>
      </c>
    </row>
    <row r="14" spans="1:8" ht="22.5" customHeight="1">
      <c r="A14" s="21"/>
      <c r="B14" s="34"/>
      <c r="C14" s="21"/>
      <c r="D14" s="22"/>
      <c r="E14" s="22"/>
      <c r="F14" s="20"/>
      <c r="G14" s="57">
        <f t="shared" si="0"/>
        <v>0</v>
      </c>
      <c r="H14" s="58">
        <f t="shared" si="1"/>
        <v>9608.7800000000007</v>
      </c>
    </row>
    <row r="15" spans="1:8" ht="22.5" customHeight="1">
      <c r="A15" s="21"/>
      <c r="B15" s="34"/>
      <c r="C15" s="21"/>
      <c r="D15" s="22"/>
      <c r="E15" s="22"/>
      <c r="F15" s="19"/>
      <c r="G15" s="57">
        <f t="shared" si="0"/>
        <v>0</v>
      </c>
      <c r="H15" s="58">
        <f t="shared" si="1"/>
        <v>9608.7800000000007</v>
      </c>
    </row>
    <row r="16" spans="1:8" ht="22.5" customHeight="1">
      <c r="A16" s="21"/>
      <c r="B16" s="34"/>
      <c r="C16" s="21"/>
      <c r="D16" s="22"/>
      <c r="E16" s="22"/>
      <c r="F16" s="20"/>
      <c r="G16" s="57">
        <f t="shared" si="0"/>
        <v>0</v>
      </c>
      <c r="H16" s="58">
        <f t="shared" si="1"/>
        <v>9608.7800000000007</v>
      </c>
    </row>
    <row r="17" spans="1:8" ht="22.5" customHeight="1">
      <c r="A17" s="21"/>
      <c r="B17" s="34"/>
      <c r="C17" s="21"/>
      <c r="D17" s="22"/>
      <c r="E17" s="22"/>
      <c r="F17" s="19"/>
      <c r="G17" s="57">
        <f t="shared" si="0"/>
        <v>0</v>
      </c>
      <c r="H17" s="58">
        <f t="shared" si="1"/>
        <v>9608.7800000000007</v>
      </c>
    </row>
    <row r="18" spans="1:8" ht="22.5" customHeight="1">
      <c r="A18" s="21"/>
      <c r="B18" s="34"/>
      <c r="C18" s="21"/>
      <c r="D18" s="22"/>
      <c r="E18" s="22"/>
      <c r="F18" s="20"/>
      <c r="G18" s="57">
        <f t="shared" si="0"/>
        <v>0</v>
      </c>
      <c r="H18" s="58">
        <f t="shared" si="1"/>
        <v>9608.7800000000007</v>
      </c>
    </row>
    <row r="19" spans="1:8" ht="22.5" customHeight="1">
      <c r="A19" s="21"/>
      <c r="B19" s="34"/>
      <c r="C19" s="21"/>
      <c r="D19" s="22"/>
      <c r="E19" s="22"/>
      <c r="F19" s="19"/>
      <c r="G19" s="57">
        <f t="shared" si="0"/>
        <v>0</v>
      </c>
      <c r="H19" s="58">
        <f t="shared" si="1"/>
        <v>9608.7800000000007</v>
      </c>
    </row>
    <row r="20" spans="1:8" ht="22.5" customHeight="1">
      <c r="A20" s="21"/>
      <c r="B20" s="34"/>
      <c r="C20" s="21"/>
      <c r="D20" s="22"/>
      <c r="E20" s="22"/>
      <c r="F20" s="20"/>
      <c r="G20" s="57">
        <f t="shared" si="0"/>
        <v>0</v>
      </c>
      <c r="H20" s="58">
        <f t="shared" si="1"/>
        <v>9608.7800000000007</v>
      </c>
    </row>
    <row r="21" spans="1:8" ht="22.5" customHeight="1">
      <c r="A21" s="21"/>
      <c r="B21" s="34"/>
      <c r="C21" s="21"/>
      <c r="D21" s="22"/>
      <c r="E21" s="22"/>
      <c r="F21" s="19"/>
      <c r="G21" s="57">
        <f t="shared" si="0"/>
        <v>0</v>
      </c>
      <c r="H21" s="58">
        <f t="shared" si="1"/>
        <v>9608.7800000000007</v>
      </c>
    </row>
    <row r="22" spans="1:8" ht="22.5" customHeight="1">
      <c r="A22" s="21"/>
      <c r="B22" s="34"/>
      <c r="C22" s="21"/>
      <c r="D22" s="22"/>
      <c r="E22" s="22"/>
      <c r="F22" s="20"/>
      <c r="G22" s="57">
        <f t="shared" si="0"/>
        <v>0</v>
      </c>
      <c r="H22" s="58">
        <f t="shared" si="1"/>
        <v>9608.7800000000007</v>
      </c>
    </row>
    <row r="23" spans="1:8" ht="22.5" customHeight="1">
      <c r="A23" s="21"/>
      <c r="B23" s="34"/>
      <c r="C23" s="21"/>
      <c r="D23" s="22"/>
      <c r="E23" s="22"/>
      <c r="F23" s="19"/>
      <c r="G23" s="57">
        <f t="shared" si="0"/>
        <v>0</v>
      </c>
      <c r="H23" s="58">
        <f t="shared" si="1"/>
        <v>9608.7800000000007</v>
      </c>
    </row>
    <row r="24" spans="1:8" ht="22.5" customHeight="1">
      <c r="A24" s="21"/>
      <c r="B24" s="34"/>
      <c r="C24" s="21"/>
      <c r="D24" s="22"/>
      <c r="E24" s="22"/>
      <c r="F24" s="20"/>
      <c r="G24" s="57">
        <f t="shared" si="0"/>
        <v>0</v>
      </c>
      <c r="H24" s="58">
        <f t="shared" si="1"/>
        <v>9608.7800000000007</v>
      </c>
    </row>
    <row r="25" spans="1:8" ht="22.5" customHeight="1">
      <c r="A25" s="21"/>
      <c r="B25" s="34"/>
      <c r="C25" s="21"/>
      <c r="D25" s="22"/>
      <c r="E25" s="22"/>
      <c r="F25" s="19"/>
      <c r="G25" s="57">
        <f t="shared" si="0"/>
        <v>0</v>
      </c>
      <c r="H25" s="58">
        <f t="shared" si="1"/>
        <v>9608.7800000000007</v>
      </c>
    </row>
    <row r="26" spans="1:8" ht="22.5" customHeight="1">
      <c r="A26" s="21"/>
      <c r="B26" s="34"/>
      <c r="C26" s="21"/>
      <c r="D26" s="22"/>
      <c r="E26" s="22"/>
      <c r="F26" s="20"/>
      <c r="G26" s="57">
        <f t="shared" si="0"/>
        <v>0</v>
      </c>
      <c r="H26" s="58">
        <f t="shared" si="1"/>
        <v>9608.7800000000007</v>
      </c>
    </row>
    <row r="27" spans="1:8" ht="22.5" customHeight="1">
      <c r="A27" s="21"/>
      <c r="B27" s="34"/>
      <c r="C27" s="21"/>
      <c r="D27" s="22"/>
      <c r="E27" s="22"/>
      <c r="F27" s="19"/>
      <c r="G27" s="57">
        <f t="shared" si="0"/>
        <v>0</v>
      </c>
      <c r="H27" s="58">
        <f t="shared" si="1"/>
        <v>9608.7800000000007</v>
      </c>
    </row>
    <row r="28" spans="1:8" ht="22.5" customHeight="1">
      <c r="A28" s="21"/>
      <c r="B28" s="34"/>
      <c r="C28" s="21"/>
      <c r="D28" s="22"/>
      <c r="E28" s="22"/>
      <c r="F28" s="20"/>
      <c r="G28" s="57">
        <f t="shared" si="0"/>
        <v>0</v>
      </c>
      <c r="H28" s="58">
        <f t="shared" si="1"/>
        <v>9608.7800000000007</v>
      </c>
    </row>
    <row r="29" spans="1:8" ht="22.5" customHeight="1">
      <c r="A29" s="21"/>
      <c r="B29" s="34"/>
      <c r="C29" s="21"/>
      <c r="D29" s="22"/>
      <c r="E29" s="22"/>
      <c r="F29" s="19"/>
      <c r="G29" s="57">
        <f t="shared" si="0"/>
        <v>0</v>
      </c>
      <c r="H29" s="58">
        <f t="shared" si="1"/>
        <v>9608.7800000000007</v>
      </c>
    </row>
    <row r="30" spans="1:8" ht="22.5" customHeight="1">
      <c r="A30" s="21"/>
      <c r="B30" s="34"/>
      <c r="C30" s="21"/>
      <c r="D30" s="22"/>
      <c r="E30" s="22"/>
      <c r="F30" s="20"/>
      <c r="G30" s="57">
        <f t="shared" si="0"/>
        <v>0</v>
      </c>
      <c r="H30" s="58">
        <f t="shared" si="1"/>
        <v>9608.7800000000007</v>
      </c>
    </row>
    <row r="31" spans="1:8" ht="22.5" customHeight="1">
      <c r="A31" s="21"/>
      <c r="B31" s="34"/>
      <c r="C31" s="21"/>
      <c r="D31" s="22"/>
      <c r="E31" s="22"/>
      <c r="F31" s="19"/>
      <c r="G31" s="57">
        <f t="shared" si="0"/>
        <v>0</v>
      </c>
      <c r="H31" s="58">
        <f t="shared" si="1"/>
        <v>9608.7800000000007</v>
      </c>
    </row>
    <row r="32" spans="1:8" ht="22.5" customHeight="1">
      <c r="A32" s="21"/>
      <c r="B32" s="34"/>
      <c r="C32" s="21"/>
      <c r="D32" s="22"/>
      <c r="E32" s="22"/>
      <c r="F32" s="20"/>
      <c r="G32" s="57">
        <f t="shared" si="0"/>
        <v>0</v>
      </c>
      <c r="H32" s="58">
        <f t="shared" si="1"/>
        <v>9608.7800000000007</v>
      </c>
    </row>
    <row r="33" spans="1:8" ht="22.5" customHeight="1">
      <c r="A33" s="21"/>
      <c r="B33" s="34"/>
      <c r="C33" s="21"/>
      <c r="D33" s="22"/>
      <c r="E33" s="22"/>
      <c r="F33" s="19"/>
      <c r="G33" s="57">
        <f t="shared" si="0"/>
        <v>0</v>
      </c>
      <c r="H33" s="58">
        <f t="shared" si="1"/>
        <v>9608.7800000000007</v>
      </c>
    </row>
    <row r="34" spans="1:8" ht="22.5" customHeight="1">
      <c r="A34" s="23"/>
      <c r="B34" s="34"/>
      <c r="C34" s="21"/>
      <c r="D34" s="24"/>
      <c r="E34" s="24"/>
      <c r="F34" s="20"/>
      <c r="G34" s="57">
        <f t="shared" si="0"/>
        <v>0</v>
      </c>
      <c r="H34" s="58">
        <f t="shared" si="1"/>
        <v>9608.7800000000007</v>
      </c>
    </row>
    <row r="35" spans="1:8" ht="22.5" customHeight="1">
      <c r="A35" s="23"/>
      <c r="B35" s="34"/>
      <c r="C35" s="21"/>
      <c r="D35" s="24"/>
      <c r="E35" s="24"/>
      <c r="F35" s="19"/>
      <c r="G35" s="57">
        <f t="shared" si="0"/>
        <v>0</v>
      </c>
      <c r="H35" s="58">
        <f t="shared" si="1"/>
        <v>9608.7800000000007</v>
      </c>
    </row>
    <row r="36" spans="1:8" ht="22.5" customHeight="1">
      <c r="A36" s="23"/>
      <c r="B36" s="34"/>
      <c r="C36" s="21"/>
      <c r="D36" s="24"/>
      <c r="E36" s="24"/>
      <c r="F36" s="20"/>
      <c r="G36" s="57">
        <f t="shared" si="0"/>
        <v>0</v>
      </c>
      <c r="H36" s="58">
        <f t="shared" si="1"/>
        <v>9608.7800000000007</v>
      </c>
    </row>
    <row r="37" spans="1:8" ht="22.5" customHeight="1">
      <c r="A37" s="23"/>
      <c r="B37" s="34"/>
      <c r="C37" s="21"/>
      <c r="D37" s="24"/>
      <c r="E37" s="24"/>
      <c r="F37" s="19"/>
      <c r="G37" s="57">
        <f t="shared" si="0"/>
        <v>0</v>
      </c>
      <c r="H37" s="58">
        <f t="shared" si="1"/>
        <v>9608.7800000000007</v>
      </c>
    </row>
    <row r="38" spans="1:8" ht="22.5" customHeight="1">
      <c r="A38" s="23"/>
      <c r="B38" s="34"/>
      <c r="C38" s="21"/>
      <c r="D38" s="24"/>
      <c r="E38" s="24"/>
      <c r="F38" s="25"/>
      <c r="G38" s="57">
        <f t="shared" si="0"/>
        <v>0</v>
      </c>
      <c r="H38" s="58">
        <f t="shared" si="1"/>
        <v>9608.7800000000007</v>
      </c>
    </row>
    <row r="39" spans="1:8" ht="22.5" customHeight="1">
      <c r="A39" s="23"/>
      <c r="B39" s="34"/>
      <c r="C39" s="21"/>
      <c r="D39" s="24"/>
      <c r="E39" s="24"/>
      <c r="F39" s="25"/>
      <c r="G39" s="57">
        <f t="shared" ref="G39:G70" si="2">IF(A39="Despesas",E39*-1,IF(A39="Receitas",E39,0))</f>
        <v>0</v>
      </c>
      <c r="H39" s="58">
        <f t="shared" ref="H39:H70" si="3">H38+G39</f>
        <v>9608.7800000000007</v>
      </c>
    </row>
    <row r="40" spans="1:8" ht="22.5" customHeight="1">
      <c r="A40" s="23"/>
      <c r="B40" s="34"/>
      <c r="C40" s="21"/>
      <c r="D40" s="24"/>
      <c r="E40" s="24"/>
      <c r="F40" s="25"/>
      <c r="G40" s="57">
        <f t="shared" si="2"/>
        <v>0</v>
      </c>
      <c r="H40" s="58">
        <f t="shared" si="3"/>
        <v>9608.7800000000007</v>
      </c>
    </row>
    <row r="41" spans="1:8" ht="22.5" customHeight="1">
      <c r="A41" s="23"/>
      <c r="B41" s="34"/>
      <c r="C41" s="21"/>
      <c r="D41" s="24"/>
      <c r="E41" s="24"/>
      <c r="F41" s="25"/>
      <c r="G41" s="57">
        <f t="shared" si="2"/>
        <v>0</v>
      </c>
      <c r="H41" s="58">
        <f t="shared" si="3"/>
        <v>9608.7800000000007</v>
      </c>
    </row>
    <row r="42" spans="1:8" ht="22.5" customHeight="1">
      <c r="A42" s="23"/>
      <c r="B42" s="34"/>
      <c r="C42" s="21"/>
      <c r="D42" s="24"/>
      <c r="E42" s="24"/>
      <c r="F42" s="25"/>
      <c r="G42" s="57">
        <f t="shared" si="2"/>
        <v>0</v>
      </c>
      <c r="H42" s="58">
        <f t="shared" si="3"/>
        <v>9608.7800000000007</v>
      </c>
    </row>
    <row r="43" spans="1:8" ht="22.5" customHeight="1">
      <c r="A43" s="23"/>
      <c r="B43" s="34"/>
      <c r="C43" s="21"/>
      <c r="D43" s="24"/>
      <c r="E43" s="24"/>
      <c r="F43" s="25"/>
      <c r="G43" s="57">
        <f t="shared" si="2"/>
        <v>0</v>
      </c>
      <c r="H43" s="58">
        <f t="shared" si="3"/>
        <v>9608.7800000000007</v>
      </c>
    </row>
    <row r="44" spans="1:8" ht="22.5" customHeight="1">
      <c r="A44" s="23"/>
      <c r="B44" s="34"/>
      <c r="C44" s="21"/>
      <c r="D44" s="24"/>
      <c r="E44" s="24"/>
      <c r="F44" s="25"/>
      <c r="G44" s="57">
        <f t="shared" si="2"/>
        <v>0</v>
      </c>
      <c r="H44" s="58">
        <f t="shared" si="3"/>
        <v>9608.7800000000007</v>
      </c>
    </row>
    <row r="45" spans="1:8" ht="22.5" customHeight="1">
      <c r="A45" s="23"/>
      <c r="B45" s="34"/>
      <c r="C45" s="21"/>
      <c r="D45" s="24"/>
      <c r="E45" s="24"/>
      <c r="F45" s="25"/>
      <c r="G45" s="57">
        <f t="shared" si="2"/>
        <v>0</v>
      </c>
      <c r="H45" s="58">
        <f t="shared" si="3"/>
        <v>9608.7800000000007</v>
      </c>
    </row>
    <row r="46" spans="1:8" ht="22.5" customHeight="1">
      <c r="A46" s="23"/>
      <c r="B46" s="34"/>
      <c r="C46" s="21"/>
      <c r="D46" s="24"/>
      <c r="E46" s="24"/>
      <c r="F46" s="25"/>
      <c r="G46" s="57">
        <f t="shared" si="2"/>
        <v>0</v>
      </c>
      <c r="H46" s="58">
        <f t="shared" si="3"/>
        <v>9608.7800000000007</v>
      </c>
    </row>
    <row r="47" spans="1:8" ht="22.5" customHeight="1">
      <c r="A47" s="23"/>
      <c r="B47" s="34"/>
      <c r="C47" s="21"/>
      <c r="D47" s="24"/>
      <c r="E47" s="24"/>
      <c r="F47" s="25"/>
      <c r="G47" s="57">
        <f t="shared" si="2"/>
        <v>0</v>
      </c>
      <c r="H47" s="58">
        <f t="shared" si="3"/>
        <v>9608.7800000000007</v>
      </c>
    </row>
    <row r="48" spans="1:8" ht="22.5" customHeight="1">
      <c r="A48" s="23"/>
      <c r="B48" s="34"/>
      <c r="C48" s="21"/>
      <c r="D48" s="24"/>
      <c r="E48" s="24"/>
      <c r="F48" s="25"/>
      <c r="G48" s="57">
        <f t="shared" si="2"/>
        <v>0</v>
      </c>
      <c r="H48" s="58">
        <f t="shared" si="3"/>
        <v>9608.7800000000007</v>
      </c>
    </row>
    <row r="49" spans="1:8" ht="22.5" customHeight="1">
      <c r="A49" s="23"/>
      <c r="B49" s="34"/>
      <c r="C49" s="21"/>
      <c r="D49" s="24"/>
      <c r="E49" s="24"/>
      <c r="F49" s="25"/>
      <c r="G49" s="57">
        <f t="shared" si="2"/>
        <v>0</v>
      </c>
      <c r="H49" s="58">
        <f t="shared" si="3"/>
        <v>9608.7800000000007</v>
      </c>
    </row>
    <row r="50" spans="1:8" ht="22.5" customHeight="1">
      <c r="A50" s="23"/>
      <c r="B50" s="34"/>
      <c r="C50" s="21"/>
      <c r="D50" s="24"/>
      <c r="E50" s="24"/>
      <c r="F50" s="25"/>
      <c r="G50" s="57">
        <f t="shared" si="2"/>
        <v>0</v>
      </c>
      <c r="H50" s="58">
        <f t="shared" si="3"/>
        <v>9608.7800000000007</v>
      </c>
    </row>
    <row r="51" spans="1:8" ht="22.5" customHeight="1">
      <c r="A51" s="23"/>
      <c r="B51" s="34"/>
      <c r="C51" s="21"/>
      <c r="D51" s="24"/>
      <c r="E51" s="24"/>
      <c r="F51" s="25"/>
      <c r="G51" s="57">
        <f t="shared" si="2"/>
        <v>0</v>
      </c>
      <c r="H51" s="58">
        <f t="shared" si="3"/>
        <v>9608.7800000000007</v>
      </c>
    </row>
    <row r="52" spans="1:8" ht="22.5" customHeight="1">
      <c r="A52" s="23"/>
      <c r="B52" s="34"/>
      <c r="C52" s="21"/>
      <c r="D52" s="24"/>
      <c r="E52" s="24"/>
      <c r="F52" s="25"/>
      <c r="G52" s="57">
        <f t="shared" si="2"/>
        <v>0</v>
      </c>
      <c r="H52" s="58">
        <f t="shared" si="3"/>
        <v>9608.7800000000007</v>
      </c>
    </row>
    <row r="53" spans="1:8" ht="22.5" customHeight="1">
      <c r="A53" s="23"/>
      <c r="B53" s="34"/>
      <c r="C53" s="21"/>
      <c r="D53" s="24"/>
      <c r="E53" s="24"/>
      <c r="F53" s="25"/>
      <c r="G53" s="57">
        <f t="shared" si="2"/>
        <v>0</v>
      </c>
      <c r="H53" s="58">
        <f t="shared" si="3"/>
        <v>9608.7800000000007</v>
      </c>
    </row>
    <row r="54" spans="1:8" ht="22.5" customHeight="1">
      <c r="A54" s="23"/>
      <c r="B54" s="34"/>
      <c r="C54" s="21"/>
      <c r="D54" s="24"/>
      <c r="E54" s="24"/>
      <c r="F54" s="25"/>
      <c r="G54" s="57">
        <f t="shared" si="2"/>
        <v>0</v>
      </c>
      <c r="H54" s="58">
        <f t="shared" si="3"/>
        <v>9608.7800000000007</v>
      </c>
    </row>
    <row r="55" spans="1:8" ht="22.5" customHeight="1">
      <c r="A55" s="23"/>
      <c r="B55" s="34"/>
      <c r="C55" s="21"/>
      <c r="D55" s="24"/>
      <c r="E55" s="24"/>
      <c r="F55" s="25"/>
      <c r="G55" s="57">
        <f t="shared" si="2"/>
        <v>0</v>
      </c>
      <c r="H55" s="58">
        <f t="shared" si="3"/>
        <v>9608.7800000000007</v>
      </c>
    </row>
    <row r="56" spans="1:8" ht="22.5" customHeight="1">
      <c r="A56" s="23"/>
      <c r="B56" s="34"/>
      <c r="C56" s="21"/>
      <c r="D56" s="24"/>
      <c r="E56" s="24"/>
      <c r="F56" s="25"/>
      <c r="G56" s="57">
        <f t="shared" si="2"/>
        <v>0</v>
      </c>
      <c r="H56" s="58">
        <f t="shared" si="3"/>
        <v>9608.7800000000007</v>
      </c>
    </row>
    <row r="57" spans="1:8" ht="22.5" customHeight="1">
      <c r="A57" s="23"/>
      <c r="B57" s="34"/>
      <c r="C57" s="21"/>
      <c r="D57" s="24"/>
      <c r="E57" s="24"/>
      <c r="F57" s="25"/>
      <c r="G57" s="57">
        <f t="shared" si="2"/>
        <v>0</v>
      </c>
      <c r="H57" s="58">
        <f t="shared" si="3"/>
        <v>9608.7800000000007</v>
      </c>
    </row>
    <row r="58" spans="1:8" ht="22.5" customHeight="1">
      <c r="A58" s="23"/>
      <c r="B58" s="34"/>
      <c r="C58" s="21"/>
      <c r="D58" s="24"/>
      <c r="E58" s="24"/>
      <c r="F58" s="25"/>
      <c r="G58" s="57">
        <f t="shared" si="2"/>
        <v>0</v>
      </c>
      <c r="H58" s="58">
        <f t="shared" si="3"/>
        <v>9608.7800000000007</v>
      </c>
    </row>
    <row r="59" spans="1:8" ht="22.5" customHeight="1">
      <c r="A59" s="23"/>
      <c r="B59" s="34"/>
      <c r="C59" s="21"/>
      <c r="D59" s="24"/>
      <c r="E59" s="24"/>
      <c r="F59" s="25"/>
      <c r="G59" s="57">
        <f t="shared" si="2"/>
        <v>0</v>
      </c>
      <c r="H59" s="58">
        <f t="shared" si="3"/>
        <v>9608.7800000000007</v>
      </c>
    </row>
    <row r="60" spans="1:8" ht="22.5" customHeight="1">
      <c r="A60" s="23"/>
      <c r="B60" s="34"/>
      <c r="C60" s="21"/>
      <c r="D60" s="24"/>
      <c r="E60" s="24"/>
      <c r="F60" s="25"/>
      <c r="G60" s="57">
        <f t="shared" si="2"/>
        <v>0</v>
      </c>
      <c r="H60" s="58">
        <f t="shared" si="3"/>
        <v>9608.7800000000007</v>
      </c>
    </row>
    <row r="61" spans="1:8" ht="22.5" customHeight="1">
      <c r="A61" s="23"/>
      <c r="B61" s="34"/>
      <c r="C61" s="21"/>
      <c r="D61" s="24"/>
      <c r="E61" s="24"/>
      <c r="F61" s="25"/>
      <c r="G61" s="57">
        <f t="shared" si="2"/>
        <v>0</v>
      </c>
      <c r="H61" s="58">
        <f t="shared" si="3"/>
        <v>9608.7800000000007</v>
      </c>
    </row>
    <row r="62" spans="1:8" ht="22.5" customHeight="1">
      <c r="A62" s="23"/>
      <c r="B62" s="34"/>
      <c r="C62" s="21"/>
      <c r="D62" s="24"/>
      <c r="E62" s="24"/>
      <c r="F62" s="25"/>
      <c r="G62" s="57">
        <f t="shared" si="2"/>
        <v>0</v>
      </c>
      <c r="H62" s="58">
        <f t="shared" si="3"/>
        <v>9608.7800000000007</v>
      </c>
    </row>
    <row r="63" spans="1:8" ht="22.5" customHeight="1">
      <c r="A63" s="23"/>
      <c r="B63" s="34"/>
      <c r="C63" s="21"/>
      <c r="D63" s="24"/>
      <c r="E63" s="24"/>
      <c r="F63" s="25"/>
      <c r="G63" s="57">
        <f t="shared" si="2"/>
        <v>0</v>
      </c>
      <c r="H63" s="58">
        <f t="shared" si="3"/>
        <v>9608.7800000000007</v>
      </c>
    </row>
    <row r="64" spans="1:8" ht="22.5" customHeight="1">
      <c r="A64" s="23"/>
      <c r="B64" s="34"/>
      <c r="C64" s="21"/>
      <c r="D64" s="24"/>
      <c r="E64" s="24"/>
      <c r="F64" s="25"/>
      <c r="G64" s="57">
        <f t="shared" si="2"/>
        <v>0</v>
      </c>
      <c r="H64" s="58">
        <f t="shared" si="3"/>
        <v>9608.7800000000007</v>
      </c>
    </row>
    <row r="65" spans="1:8" ht="22.5" customHeight="1">
      <c r="A65" s="23"/>
      <c r="B65" s="34"/>
      <c r="C65" s="21"/>
      <c r="D65" s="24"/>
      <c r="E65" s="24"/>
      <c r="F65" s="25"/>
      <c r="G65" s="57">
        <f t="shared" si="2"/>
        <v>0</v>
      </c>
      <c r="H65" s="58">
        <f t="shared" si="3"/>
        <v>9608.7800000000007</v>
      </c>
    </row>
    <row r="66" spans="1:8" ht="22.5" customHeight="1">
      <c r="A66" s="23"/>
      <c r="B66" s="34"/>
      <c r="C66" s="21"/>
      <c r="D66" s="24"/>
      <c r="E66" s="24"/>
      <c r="F66" s="25"/>
      <c r="G66" s="57">
        <f t="shared" si="2"/>
        <v>0</v>
      </c>
      <c r="H66" s="58">
        <f t="shared" si="3"/>
        <v>9608.7800000000007</v>
      </c>
    </row>
    <row r="67" spans="1:8" ht="22.5" customHeight="1">
      <c r="A67" s="23"/>
      <c r="B67" s="34"/>
      <c r="C67" s="21"/>
      <c r="D67" s="24"/>
      <c r="E67" s="24"/>
      <c r="F67" s="25"/>
      <c r="G67" s="57">
        <f t="shared" si="2"/>
        <v>0</v>
      </c>
      <c r="H67" s="58">
        <f t="shared" si="3"/>
        <v>9608.7800000000007</v>
      </c>
    </row>
    <row r="68" spans="1:8" ht="22.5" customHeight="1">
      <c r="A68" s="23"/>
      <c r="B68" s="34"/>
      <c r="C68" s="21"/>
      <c r="D68" s="24"/>
      <c r="E68" s="24"/>
      <c r="F68" s="25"/>
      <c r="G68" s="57">
        <f t="shared" si="2"/>
        <v>0</v>
      </c>
      <c r="H68" s="58">
        <f t="shared" si="3"/>
        <v>9608.7800000000007</v>
      </c>
    </row>
    <row r="69" spans="1:8" ht="22.5" customHeight="1">
      <c r="A69" s="23"/>
      <c r="B69" s="34"/>
      <c r="C69" s="21"/>
      <c r="D69" s="24"/>
      <c r="E69" s="24"/>
      <c r="F69" s="25"/>
      <c r="G69" s="57">
        <f t="shared" si="2"/>
        <v>0</v>
      </c>
      <c r="H69" s="58">
        <f t="shared" si="3"/>
        <v>9608.7800000000007</v>
      </c>
    </row>
    <row r="70" spans="1:8" ht="22.5" customHeight="1">
      <c r="A70" s="23"/>
      <c r="B70" s="34"/>
      <c r="C70" s="21"/>
      <c r="D70" s="24"/>
      <c r="E70" s="24"/>
      <c r="F70" s="25"/>
      <c r="G70" s="57">
        <f t="shared" si="2"/>
        <v>0</v>
      </c>
      <c r="H70" s="58">
        <f t="shared" si="3"/>
        <v>9608.7800000000007</v>
      </c>
    </row>
    <row r="71" spans="1:8" ht="22.5" customHeight="1">
      <c r="A71" s="23"/>
      <c r="B71" s="34"/>
      <c r="C71" s="21"/>
      <c r="D71" s="24"/>
      <c r="E71" s="24"/>
      <c r="F71" s="25"/>
      <c r="G71" s="57">
        <f t="shared" ref="G71:G102" si="4">IF(A71="Despesas",E71*-1,IF(A71="Receitas",E71,0))</f>
        <v>0</v>
      </c>
      <c r="H71" s="58">
        <f t="shared" ref="H71:H102" si="5">H70+G71</f>
        <v>9608.7800000000007</v>
      </c>
    </row>
    <row r="72" spans="1:8" ht="22.5" customHeight="1">
      <c r="A72" s="23"/>
      <c r="B72" s="34"/>
      <c r="C72" s="21"/>
      <c r="D72" s="24"/>
      <c r="E72" s="24"/>
      <c r="F72" s="25"/>
      <c r="G72" s="57">
        <f t="shared" si="4"/>
        <v>0</v>
      </c>
      <c r="H72" s="58">
        <f t="shared" si="5"/>
        <v>9608.7800000000007</v>
      </c>
    </row>
    <row r="73" spans="1:8" ht="22.5" customHeight="1">
      <c r="A73" s="23"/>
      <c r="B73" s="34"/>
      <c r="C73" s="21"/>
      <c r="D73" s="24"/>
      <c r="E73" s="24"/>
      <c r="F73" s="25"/>
      <c r="G73" s="57">
        <f t="shared" si="4"/>
        <v>0</v>
      </c>
      <c r="H73" s="58">
        <f t="shared" si="5"/>
        <v>9608.7800000000007</v>
      </c>
    </row>
    <row r="74" spans="1:8" ht="22.5" customHeight="1">
      <c r="A74" s="23"/>
      <c r="B74" s="34"/>
      <c r="C74" s="21"/>
      <c r="D74" s="24"/>
      <c r="E74" s="24"/>
      <c r="F74" s="25"/>
      <c r="G74" s="57">
        <f t="shared" si="4"/>
        <v>0</v>
      </c>
      <c r="H74" s="58">
        <f t="shared" si="5"/>
        <v>9608.7800000000007</v>
      </c>
    </row>
    <row r="75" spans="1:8" ht="22.5" customHeight="1">
      <c r="A75" s="23"/>
      <c r="B75" s="34"/>
      <c r="C75" s="21"/>
      <c r="D75" s="24"/>
      <c r="E75" s="24"/>
      <c r="F75" s="25"/>
      <c r="G75" s="57">
        <f t="shared" si="4"/>
        <v>0</v>
      </c>
      <c r="H75" s="58">
        <f t="shared" si="5"/>
        <v>9608.7800000000007</v>
      </c>
    </row>
    <row r="76" spans="1:8" ht="22.5" customHeight="1">
      <c r="A76" s="23"/>
      <c r="B76" s="34"/>
      <c r="C76" s="21"/>
      <c r="D76" s="24"/>
      <c r="E76" s="24"/>
      <c r="F76" s="25"/>
      <c r="G76" s="57">
        <f t="shared" si="4"/>
        <v>0</v>
      </c>
      <c r="H76" s="58">
        <f t="shared" si="5"/>
        <v>9608.7800000000007</v>
      </c>
    </row>
    <row r="77" spans="1:8" ht="22.5" customHeight="1">
      <c r="A77" s="23"/>
      <c r="B77" s="34"/>
      <c r="C77" s="21"/>
      <c r="D77" s="24"/>
      <c r="E77" s="24"/>
      <c r="F77" s="25"/>
      <c r="G77" s="57">
        <f t="shared" si="4"/>
        <v>0</v>
      </c>
      <c r="H77" s="58">
        <f t="shared" si="5"/>
        <v>9608.7800000000007</v>
      </c>
    </row>
    <row r="78" spans="1:8" ht="22.5" customHeight="1">
      <c r="A78" s="23"/>
      <c r="B78" s="34"/>
      <c r="C78" s="21"/>
      <c r="D78" s="24"/>
      <c r="E78" s="24"/>
      <c r="F78" s="25"/>
      <c r="G78" s="57">
        <f t="shared" si="4"/>
        <v>0</v>
      </c>
      <c r="H78" s="58">
        <f t="shared" si="5"/>
        <v>9608.7800000000007</v>
      </c>
    </row>
    <row r="79" spans="1:8" ht="22.5" customHeight="1">
      <c r="A79" s="23"/>
      <c r="B79" s="34"/>
      <c r="C79" s="21"/>
      <c r="D79" s="24"/>
      <c r="E79" s="24"/>
      <c r="F79" s="25"/>
      <c r="G79" s="57">
        <f t="shared" si="4"/>
        <v>0</v>
      </c>
      <c r="H79" s="58">
        <f t="shared" si="5"/>
        <v>9608.7800000000007</v>
      </c>
    </row>
    <row r="80" spans="1:8" ht="22.5" customHeight="1">
      <c r="A80" s="23"/>
      <c r="B80" s="34"/>
      <c r="C80" s="21"/>
      <c r="D80" s="24"/>
      <c r="E80" s="24"/>
      <c r="F80" s="25"/>
      <c r="G80" s="57">
        <f t="shared" si="4"/>
        <v>0</v>
      </c>
      <c r="H80" s="58">
        <f t="shared" si="5"/>
        <v>9608.7800000000007</v>
      </c>
    </row>
    <row r="81" spans="1:8" ht="22.5" customHeight="1">
      <c r="A81" s="23"/>
      <c r="B81" s="34"/>
      <c r="C81" s="21"/>
      <c r="D81" s="24"/>
      <c r="E81" s="24"/>
      <c r="F81" s="25"/>
      <c r="G81" s="57">
        <f t="shared" si="4"/>
        <v>0</v>
      </c>
      <c r="H81" s="58">
        <f t="shared" si="5"/>
        <v>9608.7800000000007</v>
      </c>
    </row>
    <row r="82" spans="1:8" ht="22.5" customHeight="1">
      <c r="A82" s="23"/>
      <c r="B82" s="34"/>
      <c r="C82" s="21"/>
      <c r="D82" s="24"/>
      <c r="E82" s="24"/>
      <c r="F82" s="25"/>
      <c r="G82" s="57">
        <f t="shared" si="4"/>
        <v>0</v>
      </c>
      <c r="H82" s="58">
        <f t="shared" si="5"/>
        <v>9608.7800000000007</v>
      </c>
    </row>
    <row r="83" spans="1:8" ht="22.5" customHeight="1">
      <c r="A83" s="23"/>
      <c r="B83" s="34"/>
      <c r="C83" s="21"/>
      <c r="D83" s="24"/>
      <c r="E83" s="24"/>
      <c r="F83" s="25"/>
      <c r="G83" s="57">
        <f t="shared" si="4"/>
        <v>0</v>
      </c>
      <c r="H83" s="58">
        <f t="shared" si="5"/>
        <v>9608.7800000000007</v>
      </c>
    </row>
    <row r="84" spans="1:8" ht="22.5" customHeight="1">
      <c r="A84" s="23"/>
      <c r="B84" s="34"/>
      <c r="C84" s="21"/>
      <c r="D84" s="24"/>
      <c r="E84" s="24"/>
      <c r="F84" s="25"/>
      <c r="G84" s="57">
        <f t="shared" si="4"/>
        <v>0</v>
      </c>
      <c r="H84" s="58">
        <f t="shared" si="5"/>
        <v>9608.7800000000007</v>
      </c>
    </row>
    <row r="85" spans="1:8" ht="22.5" customHeight="1">
      <c r="A85" s="23"/>
      <c r="B85" s="34"/>
      <c r="C85" s="21"/>
      <c r="D85" s="24"/>
      <c r="E85" s="24"/>
      <c r="F85" s="25"/>
      <c r="G85" s="57">
        <f t="shared" si="4"/>
        <v>0</v>
      </c>
      <c r="H85" s="58">
        <f t="shared" si="5"/>
        <v>9608.7800000000007</v>
      </c>
    </row>
    <row r="86" spans="1:8" ht="22.5" customHeight="1">
      <c r="A86" s="23"/>
      <c r="B86" s="34"/>
      <c r="C86" s="21"/>
      <c r="D86" s="24"/>
      <c r="E86" s="24"/>
      <c r="F86" s="25"/>
      <c r="G86" s="57">
        <f t="shared" si="4"/>
        <v>0</v>
      </c>
      <c r="H86" s="58">
        <f t="shared" si="5"/>
        <v>9608.7800000000007</v>
      </c>
    </row>
    <row r="87" spans="1:8" ht="22.5" customHeight="1">
      <c r="A87" s="23"/>
      <c r="B87" s="34"/>
      <c r="C87" s="21"/>
      <c r="D87" s="24"/>
      <c r="E87" s="24"/>
      <c r="F87" s="25"/>
      <c r="G87" s="57">
        <f t="shared" si="4"/>
        <v>0</v>
      </c>
      <c r="H87" s="58">
        <f t="shared" si="5"/>
        <v>9608.7800000000007</v>
      </c>
    </row>
    <row r="88" spans="1:8" ht="22.5" customHeight="1">
      <c r="A88" s="23"/>
      <c r="B88" s="34"/>
      <c r="C88" s="21"/>
      <c r="D88" s="24"/>
      <c r="E88" s="24"/>
      <c r="F88" s="25"/>
      <c r="G88" s="57">
        <f t="shared" si="4"/>
        <v>0</v>
      </c>
      <c r="H88" s="58">
        <f t="shared" si="5"/>
        <v>9608.7800000000007</v>
      </c>
    </row>
    <row r="89" spans="1:8" ht="22.5" customHeight="1">
      <c r="A89" s="23"/>
      <c r="B89" s="34"/>
      <c r="C89" s="21"/>
      <c r="D89" s="24"/>
      <c r="E89" s="24"/>
      <c r="F89" s="25"/>
      <c r="G89" s="57">
        <f t="shared" si="4"/>
        <v>0</v>
      </c>
      <c r="H89" s="58">
        <f t="shared" si="5"/>
        <v>9608.7800000000007</v>
      </c>
    </row>
    <row r="90" spans="1:8" ht="22.5" customHeight="1">
      <c r="A90" s="23"/>
      <c r="B90" s="34"/>
      <c r="C90" s="21"/>
      <c r="D90" s="24"/>
      <c r="E90" s="24"/>
      <c r="F90" s="25"/>
      <c r="G90" s="57">
        <f t="shared" si="4"/>
        <v>0</v>
      </c>
      <c r="H90" s="58">
        <f t="shared" si="5"/>
        <v>9608.7800000000007</v>
      </c>
    </row>
    <row r="91" spans="1:8" ht="22.5" customHeight="1">
      <c r="A91" s="23"/>
      <c r="B91" s="34"/>
      <c r="C91" s="21"/>
      <c r="D91" s="24"/>
      <c r="E91" s="24"/>
      <c r="F91" s="25"/>
      <c r="G91" s="57">
        <f t="shared" si="4"/>
        <v>0</v>
      </c>
      <c r="H91" s="58">
        <f t="shared" si="5"/>
        <v>9608.7800000000007</v>
      </c>
    </row>
    <row r="92" spans="1:8" ht="22.5" customHeight="1">
      <c r="A92" s="23"/>
      <c r="B92" s="34"/>
      <c r="C92" s="21"/>
      <c r="D92" s="24"/>
      <c r="E92" s="24"/>
      <c r="F92" s="25"/>
      <c r="G92" s="57">
        <f t="shared" si="4"/>
        <v>0</v>
      </c>
      <c r="H92" s="58">
        <f t="shared" si="5"/>
        <v>9608.7800000000007</v>
      </c>
    </row>
    <row r="93" spans="1:8" ht="22.5" customHeight="1">
      <c r="A93" s="23"/>
      <c r="B93" s="34"/>
      <c r="C93" s="21"/>
      <c r="D93" s="24"/>
      <c r="E93" s="24"/>
      <c r="F93" s="25"/>
      <c r="G93" s="57">
        <f t="shared" si="4"/>
        <v>0</v>
      </c>
      <c r="H93" s="58">
        <f t="shared" si="5"/>
        <v>9608.7800000000007</v>
      </c>
    </row>
    <row r="94" spans="1:8" ht="22.5" customHeight="1">
      <c r="A94" s="23"/>
      <c r="B94" s="34"/>
      <c r="C94" s="21"/>
      <c r="D94" s="24"/>
      <c r="E94" s="24"/>
      <c r="F94" s="25"/>
      <c r="G94" s="57">
        <f t="shared" si="4"/>
        <v>0</v>
      </c>
      <c r="H94" s="58">
        <f t="shared" si="5"/>
        <v>9608.7800000000007</v>
      </c>
    </row>
    <row r="95" spans="1:8" ht="22.5" customHeight="1">
      <c r="A95" s="23"/>
      <c r="B95" s="34"/>
      <c r="C95" s="21"/>
      <c r="D95" s="24"/>
      <c r="E95" s="24"/>
      <c r="F95" s="25"/>
      <c r="G95" s="57">
        <f t="shared" si="4"/>
        <v>0</v>
      </c>
      <c r="H95" s="58">
        <f t="shared" si="5"/>
        <v>9608.7800000000007</v>
      </c>
    </row>
    <row r="96" spans="1:8" ht="22.5" customHeight="1">
      <c r="A96" s="23"/>
      <c r="B96" s="34"/>
      <c r="C96" s="21"/>
      <c r="D96" s="24"/>
      <c r="E96" s="24"/>
      <c r="F96" s="25"/>
      <c r="G96" s="57">
        <f t="shared" si="4"/>
        <v>0</v>
      </c>
      <c r="H96" s="58">
        <f t="shared" si="5"/>
        <v>9608.7800000000007</v>
      </c>
    </row>
    <row r="97" spans="1:8" ht="22.5" customHeight="1">
      <c r="A97" s="23"/>
      <c r="B97" s="34"/>
      <c r="C97" s="21"/>
      <c r="D97" s="24"/>
      <c r="E97" s="24"/>
      <c r="F97" s="25"/>
      <c r="G97" s="57">
        <f t="shared" si="4"/>
        <v>0</v>
      </c>
      <c r="H97" s="58">
        <f t="shared" si="5"/>
        <v>9608.7800000000007</v>
      </c>
    </row>
    <row r="98" spans="1:8" ht="22.5" customHeight="1">
      <c r="A98" s="23"/>
      <c r="B98" s="34"/>
      <c r="C98" s="21"/>
      <c r="D98" s="24"/>
      <c r="E98" s="24"/>
      <c r="F98" s="25"/>
      <c r="G98" s="57">
        <f t="shared" si="4"/>
        <v>0</v>
      </c>
      <c r="H98" s="58">
        <f t="shared" si="5"/>
        <v>9608.7800000000007</v>
      </c>
    </row>
    <row r="99" spans="1:8" ht="22.5" customHeight="1">
      <c r="A99" s="23"/>
      <c r="B99" s="34"/>
      <c r="C99" s="21"/>
      <c r="D99" s="24"/>
      <c r="E99" s="24"/>
      <c r="F99" s="25"/>
      <c r="G99" s="57">
        <f t="shared" si="4"/>
        <v>0</v>
      </c>
      <c r="H99" s="58">
        <f t="shared" si="5"/>
        <v>9608.7800000000007</v>
      </c>
    </row>
    <row r="100" spans="1:8" ht="22.5" customHeight="1">
      <c r="A100" s="23"/>
      <c r="B100" s="34"/>
      <c r="C100" s="21"/>
      <c r="D100" s="24"/>
      <c r="E100" s="24"/>
      <c r="F100" s="25"/>
      <c r="G100" s="57">
        <f t="shared" si="4"/>
        <v>0</v>
      </c>
      <c r="H100" s="58">
        <f t="shared" si="5"/>
        <v>9608.7800000000007</v>
      </c>
    </row>
    <row r="101" spans="1:8" ht="22.5" customHeight="1">
      <c r="A101" s="23"/>
      <c r="B101" s="34"/>
      <c r="C101" s="21"/>
      <c r="D101" s="24"/>
      <c r="E101" s="24"/>
      <c r="F101" s="25"/>
      <c r="G101" s="57">
        <f t="shared" si="4"/>
        <v>0</v>
      </c>
      <c r="H101" s="58">
        <f t="shared" si="5"/>
        <v>9608.7800000000007</v>
      </c>
    </row>
    <row r="102" spans="1:8" ht="22.5" customHeight="1">
      <c r="A102" s="23"/>
      <c r="B102" s="34"/>
      <c r="C102" s="21"/>
      <c r="D102" s="24"/>
      <c r="E102" s="24"/>
      <c r="F102" s="25"/>
      <c r="G102" s="57">
        <f t="shared" si="4"/>
        <v>0</v>
      </c>
      <c r="H102" s="58">
        <f t="shared" si="5"/>
        <v>9608.7800000000007</v>
      </c>
    </row>
    <row r="103" spans="1:8" ht="22.5" customHeight="1">
      <c r="A103" s="23"/>
      <c r="B103" s="34"/>
      <c r="C103" s="21"/>
      <c r="D103" s="24"/>
      <c r="E103" s="24"/>
      <c r="F103" s="25"/>
      <c r="G103" s="57">
        <f t="shared" ref="G103:G134" si="6">IF(A103="Despesas",E103*-1,IF(A103="Receitas",E103,0))</f>
        <v>0</v>
      </c>
      <c r="H103" s="58">
        <f t="shared" ref="H103:H134" si="7">H102+G103</f>
        <v>9608.7800000000007</v>
      </c>
    </row>
    <row r="104" spans="1:8" ht="22.5" customHeight="1">
      <c r="A104" s="23"/>
      <c r="B104" s="34"/>
      <c r="C104" s="21"/>
      <c r="D104" s="24"/>
      <c r="E104" s="24"/>
      <c r="F104" s="25"/>
      <c r="G104" s="57">
        <f t="shared" si="6"/>
        <v>0</v>
      </c>
      <c r="H104" s="58">
        <f t="shared" si="7"/>
        <v>9608.7800000000007</v>
      </c>
    </row>
    <row r="105" spans="1:8" ht="22.5" customHeight="1">
      <c r="A105" s="23"/>
      <c r="B105" s="34"/>
      <c r="C105" s="21"/>
      <c r="D105" s="24"/>
      <c r="E105" s="24"/>
      <c r="F105" s="25"/>
      <c r="G105" s="57">
        <f t="shared" si="6"/>
        <v>0</v>
      </c>
      <c r="H105" s="58">
        <f t="shared" si="7"/>
        <v>9608.7800000000007</v>
      </c>
    </row>
    <row r="106" spans="1:8" ht="22.5" customHeight="1">
      <c r="A106" s="23"/>
      <c r="B106" s="34"/>
      <c r="C106" s="21"/>
      <c r="D106" s="24"/>
      <c r="E106" s="24"/>
      <c r="F106" s="25"/>
      <c r="G106" s="57">
        <f t="shared" si="6"/>
        <v>0</v>
      </c>
      <c r="H106" s="58">
        <f t="shared" si="7"/>
        <v>9608.7800000000007</v>
      </c>
    </row>
    <row r="107" spans="1:8" ht="22.5" customHeight="1">
      <c r="A107" s="23"/>
      <c r="B107" s="34"/>
      <c r="C107" s="21"/>
      <c r="D107" s="24"/>
      <c r="E107" s="24"/>
      <c r="F107" s="25"/>
      <c r="G107" s="57">
        <f t="shared" si="6"/>
        <v>0</v>
      </c>
      <c r="H107" s="58">
        <f t="shared" si="7"/>
        <v>9608.7800000000007</v>
      </c>
    </row>
    <row r="108" spans="1:8" ht="22.5" customHeight="1">
      <c r="A108" s="23"/>
      <c r="B108" s="34"/>
      <c r="C108" s="21"/>
      <c r="D108" s="24"/>
      <c r="E108" s="24"/>
      <c r="F108" s="25"/>
      <c r="G108" s="57">
        <f t="shared" si="6"/>
        <v>0</v>
      </c>
      <c r="H108" s="58">
        <f t="shared" si="7"/>
        <v>9608.7800000000007</v>
      </c>
    </row>
    <row r="109" spans="1:8" ht="22.5" customHeight="1">
      <c r="A109" s="23"/>
      <c r="B109" s="34"/>
      <c r="C109" s="21"/>
      <c r="D109" s="24"/>
      <c r="E109" s="24"/>
      <c r="F109" s="25"/>
      <c r="G109" s="57">
        <f t="shared" si="6"/>
        <v>0</v>
      </c>
      <c r="H109" s="58">
        <f t="shared" si="7"/>
        <v>9608.7800000000007</v>
      </c>
    </row>
    <row r="110" spans="1:8" ht="22.5" customHeight="1">
      <c r="A110" s="23"/>
      <c r="B110" s="34"/>
      <c r="C110" s="21"/>
      <c r="D110" s="24"/>
      <c r="E110" s="24"/>
      <c r="F110" s="25"/>
      <c r="G110" s="57">
        <f t="shared" si="6"/>
        <v>0</v>
      </c>
      <c r="H110" s="58">
        <f t="shared" si="7"/>
        <v>9608.7800000000007</v>
      </c>
    </row>
    <row r="111" spans="1:8" ht="22.5" customHeight="1">
      <c r="A111" s="23"/>
      <c r="B111" s="34"/>
      <c r="C111" s="21"/>
      <c r="D111" s="24"/>
      <c r="E111" s="24"/>
      <c r="F111" s="25"/>
      <c r="G111" s="57">
        <f t="shared" si="6"/>
        <v>0</v>
      </c>
      <c r="H111" s="58">
        <f t="shared" si="7"/>
        <v>9608.7800000000007</v>
      </c>
    </row>
    <row r="112" spans="1:8" ht="22.5" customHeight="1">
      <c r="A112" s="23"/>
      <c r="B112" s="34"/>
      <c r="C112" s="21"/>
      <c r="D112" s="24"/>
      <c r="E112" s="24"/>
      <c r="F112" s="25"/>
      <c r="G112" s="57">
        <f t="shared" si="6"/>
        <v>0</v>
      </c>
      <c r="H112" s="58">
        <f t="shared" si="7"/>
        <v>9608.7800000000007</v>
      </c>
    </row>
    <row r="113" spans="1:8" ht="22.5" customHeight="1">
      <c r="A113" s="23"/>
      <c r="B113" s="34"/>
      <c r="C113" s="21"/>
      <c r="D113" s="24"/>
      <c r="E113" s="24"/>
      <c r="F113" s="25"/>
      <c r="G113" s="57">
        <f t="shared" si="6"/>
        <v>0</v>
      </c>
      <c r="H113" s="58">
        <f t="shared" si="7"/>
        <v>9608.7800000000007</v>
      </c>
    </row>
    <row r="114" spans="1:8" ht="22.5" customHeight="1">
      <c r="A114" s="23"/>
      <c r="B114" s="34"/>
      <c r="C114" s="21"/>
      <c r="D114" s="24"/>
      <c r="E114" s="24"/>
      <c r="F114" s="25"/>
      <c r="G114" s="57">
        <f t="shared" si="6"/>
        <v>0</v>
      </c>
      <c r="H114" s="58">
        <f t="shared" si="7"/>
        <v>9608.7800000000007</v>
      </c>
    </row>
    <row r="115" spans="1:8" ht="22.5" customHeight="1">
      <c r="A115" s="23"/>
      <c r="B115" s="34"/>
      <c r="C115" s="21"/>
      <c r="D115" s="24"/>
      <c r="E115" s="24"/>
      <c r="F115" s="25"/>
      <c r="G115" s="57">
        <f t="shared" si="6"/>
        <v>0</v>
      </c>
      <c r="H115" s="58">
        <f t="shared" si="7"/>
        <v>9608.7800000000007</v>
      </c>
    </row>
    <row r="116" spans="1:8" ht="22.5" customHeight="1">
      <c r="A116" s="23"/>
      <c r="B116" s="34"/>
      <c r="C116" s="21"/>
      <c r="D116" s="24"/>
      <c r="E116" s="24"/>
      <c r="F116" s="25"/>
      <c r="G116" s="57">
        <f t="shared" si="6"/>
        <v>0</v>
      </c>
      <c r="H116" s="58">
        <f t="shared" si="7"/>
        <v>9608.7800000000007</v>
      </c>
    </row>
    <row r="117" spans="1:8" ht="22.5" customHeight="1">
      <c r="A117" s="23"/>
      <c r="B117" s="34"/>
      <c r="C117" s="21"/>
      <c r="D117" s="24"/>
      <c r="E117" s="24"/>
      <c r="F117" s="25"/>
      <c r="G117" s="57">
        <f t="shared" si="6"/>
        <v>0</v>
      </c>
      <c r="H117" s="58">
        <f t="shared" si="7"/>
        <v>9608.7800000000007</v>
      </c>
    </row>
    <row r="118" spans="1:8" ht="22.5" customHeight="1">
      <c r="A118" s="23"/>
      <c r="B118" s="34"/>
      <c r="C118" s="21"/>
      <c r="D118" s="24"/>
      <c r="E118" s="24"/>
      <c r="F118" s="25"/>
      <c r="G118" s="57">
        <f t="shared" si="6"/>
        <v>0</v>
      </c>
      <c r="H118" s="58">
        <f t="shared" si="7"/>
        <v>9608.7800000000007</v>
      </c>
    </row>
    <row r="119" spans="1:8" ht="22.5" customHeight="1">
      <c r="A119" s="23"/>
      <c r="B119" s="34"/>
      <c r="C119" s="21"/>
      <c r="D119" s="24"/>
      <c r="E119" s="24"/>
      <c r="F119" s="25"/>
      <c r="G119" s="57">
        <f t="shared" si="6"/>
        <v>0</v>
      </c>
      <c r="H119" s="58">
        <f t="shared" si="7"/>
        <v>9608.7800000000007</v>
      </c>
    </row>
    <row r="120" spans="1:8" ht="22.5" customHeight="1">
      <c r="A120" s="23"/>
      <c r="B120" s="34"/>
      <c r="C120" s="21"/>
      <c r="D120" s="24"/>
      <c r="E120" s="24"/>
      <c r="F120" s="25"/>
      <c r="G120" s="57">
        <f t="shared" si="6"/>
        <v>0</v>
      </c>
      <c r="H120" s="58">
        <f t="shared" si="7"/>
        <v>9608.7800000000007</v>
      </c>
    </row>
    <row r="121" spans="1:8" ht="22.5" customHeight="1">
      <c r="A121" s="23"/>
      <c r="B121" s="34"/>
      <c r="C121" s="21"/>
      <c r="D121" s="24"/>
      <c r="E121" s="24"/>
      <c r="F121" s="25"/>
      <c r="G121" s="57">
        <f t="shared" si="6"/>
        <v>0</v>
      </c>
      <c r="H121" s="58">
        <f t="shared" si="7"/>
        <v>9608.7800000000007</v>
      </c>
    </row>
    <row r="122" spans="1:8" ht="22.5" customHeight="1">
      <c r="A122" s="23"/>
      <c r="B122" s="34"/>
      <c r="C122" s="21"/>
      <c r="D122" s="24"/>
      <c r="E122" s="24"/>
      <c r="F122" s="25"/>
      <c r="G122" s="57">
        <f t="shared" si="6"/>
        <v>0</v>
      </c>
      <c r="H122" s="58">
        <f t="shared" si="7"/>
        <v>9608.7800000000007</v>
      </c>
    </row>
    <row r="123" spans="1:8" ht="22.5" customHeight="1">
      <c r="A123" s="23"/>
      <c r="B123" s="34"/>
      <c r="C123" s="21"/>
      <c r="D123" s="24"/>
      <c r="E123" s="24"/>
      <c r="F123" s="25"/>
      <c r="G123" s="57">
        <f t="shared" si="6"/>
        <v>0</v>
      </c>
      <c r="H123" s="58">
        <f t="shared" si="7"/>
        <v>9608.7800000000007</v>
      </c>
    </row>
    <row r="124" spans="1:8" ht="22.5" customHeight="1">
      <c r="A124" s="23"/>
      <c r="B124" s="34"/>
      <c r="C124" s="21"/>
      <c r="D124" s="24"/>
      <c r="E124" s="24"/>
      <c r="F124" s="25"/>
      <c r="G124" s="57">
        <f t="shared" si="6"/>
        <v>0</v>
      </c>
      <c r="H124" s="58">
        <f t="shared" si="7"/>
        <v>9608.7800000000007</v>
      </c>
    </row>
    <row r="125" spans="1:8" ht="22.5" customHeight="1">
      <c r="A125" s="23"/>
      <c r="B125" s="34"/>
      <c r="C125" s="21"/>
      <c r="D125" s="24"/>
      <c r="E125" s="24"/>
      <c r="F125" s="25"/>
      <c r="G125" s="57">
        <f t="shared" si="6"/>
        <v>0</v>
      </c>
      <c r="H125" s="58">
        <f t="shared" si="7"/>
        <v>9608.7800000000007</v>
      </c>
    </row>
    <row r="126" spans="1:8" ht="22.5" customHeight="1">
      <c r="A126" s="23"/>
      <c r="B126" s="34"/>
      <c r="C126" s="21"/>
      <c r="D126" s="24"/>
      <c r="E126" s="24"/>
      <c r="F126" s="25"/>
      <c r="G126" s="57">
        <f t="shared" si="6"/>
        <v>0</v>
      </c>
      <c r="H126" s="58">
        <f t="shared" si="7"/>
        <v>9608.7800000000007</v>
      </c>
    </row>
    <row r="127" spans="1:8" ht="22.5" customHeight="1">
      <c r="A127" s="23"/>
      <c r="B127" s="34"/>
      <c r="C127" s="21"/>
      <c r="D127" s="24"/>
      <c r="E127" s="24"/>
      <c r="F127" s="25"/>
      <c r="G127" s="57">
        <f t="shared" si="6"/>
        <v>0</v>
      </c>
      <c r="H127" s="58">
        <f t="shared" si="7"/>
        <v>9608.7800000000007</v>
      </c>
    </row>
    <row r="128" spans="1:8" ht="22.5" customHeight="1">
      <c r="A128" s="23"/>
      <c r="B128" s="34"/>
      <c r="C128" s="21"/>
      <c r="D128" s="24"/>
      <c r="E128" s="24"/>
      <c r="F128" s="25"/>
      <c r="G128" s="57">
        <f t="shared" si="6"/>
        <v>0</v>
      </c>
      <c r="H128" s="58">
        <f t="shared" si="7"/>
        <v>9608.7800000000007</v>
      </c>
    </row>
    <row r="129" spans="1:8" ht="22.5" customHeight="1">
      <c r="A129" s="23"/>
      <c r="B129" s="34"/>
      <c r="C129" s="21"/>
      <c r="D129" s="24"/>
      <c r="E129" s="24"/>
      <c r="F129" s="25"/>
      <c r="G129" s="57">
        <f t="shared" si="6"/>
        <v>0</v>
      </c>
      <c r="H129" s="58">
        <f t="shared" si="7"/>
        <v>9608.7800000000007</v>
      </c>
    </row>
    <row r="130" spans="1:8" ht="22.5" customHeight="1">
      <c r="A130" s="23"/>
      <c r="B130" s="34"/>
      <c r="C130" s="21"/>
      <c r="D130" s="24"/>
      <c r="E130" s="24"/>
      <c r="F130" s="25"/>
      <c r="G130" s="57">
        <f t="shared" si="6"/>
        <v>0</v>
      </c>
      <c r="H130" s="58">
        <f t="shared" si="7"/>
        <v>9608.7800000000007</v>
      </c>
    </row>
    <row r="131" spans="1:8" ht="22.5" customHeight="1">
      <c r="A131" s="23"/>
      <c r="B131" s="34"/>
      <c r="C131" s="21"/>
      <c r="D131" s="24"/>
      <c r="E131" s="24"/>
      <c r="F131" s="25"/>
      <c r="G131" s="57">
        <f t="shared" si="6"/>
        <v>0</v>
      </c>
      <c r="H131" s="58">
        <f t="shared" si="7"/>
        <v>9608.7800000000007</v>
      </c>
    </row>
    <row r="132" spans="1:8" ht="22.5" customHeight="1">
      <c r="A132" s="23"/>
      <c r="B132" s="34"/>
      <c r="C132" s="21"/>
      <c r="D132" s="24"/>
      <c r="E132" s="24"/>
      <c r="F132" s="25"/>
      <c r="G132" s="57">
        <f t="shared" si="6"/>
        <v>0</v>
      </c>
      <c r="H132" s="58">
        <f t="shared" si="7"/>
        <v>9608.7800000000007</v>
      </c>
    </row>
    <row r="133" spans="1:8" ht="22.5" customHeight="1">
      <c r="A133" s="23"/>
      <c r="B133" s="34"/>
      <c r="C133" s="21"/>
      <c r="D133" s="24"/>
      <c r="E133" s="24"/>
      <c r="F133" s="25"/>
      <c r="G133" s="57">
        <f t="shared" si="6"/>
        <v>0</v>
      </c>
      <c r="H133" s="58">
        <f t="shared" si="7"/>
        <v>9608.7800000000007</v>
      </c>
    </row>
    <row r="134" spans="1:8" ht="22.5" customHeight="1">
      <c r="A134" s="23"/>
      <c r="B134" s="34"/>
      <c r="C134" s="21"/>
      <c r="D134" s="24"/>
      <c r="E134" s="24"/>
      <c r="F134" s="25"/>
      <c r="G134" s="57">
        <f t="shared" si="6"/>
        <v>0</v>
      </c>
      <c r="H134" s="58">
        <f t="shared" si="7"/>
        <v>9608.7800000000007</v>
      </c>
    </row>
    <row r="135" spans="1:8" ht="22.5" customHeight="1">
      <c r="A135" s="23"/>
      <c r="B135" s="34"/>
      <c r="C135" s="21"/>
      <c r="D135" s="24"/>
      <c r="E135" s="24"/>
      <c r="F135" s="25"/>
      <c r="G135" s="57">
        <f t="shared" ref="G135:G166" si="8">IF(A135="Despesas",E135*-1,IF(A135="Receitas",E135,0))</f>
        <v>0</v>
      </c>
      <c r="H135" s="58">
        <f t="shared" ref="H135:H166" si="9">H134+G135</f>
        <v>9608.7800000000007</v>
      </c>
    </row>
    <row r="136" spans="1:8" ht="22.5" customHeight="1">
      <c r="A136" s="23"/>
      <c r="B136" s="34"/>
      <c r="C136" s="21"/>
      <c r="D136" s="24"/>
      <c r="E136" s="24"/>
      <c r="F136" s="25"/>
      <c r="G136" s="57">
        <f t="shared" si="8"/>
        <v>0</v>
      </c>
      <c r="H136" s="58">
        <f t="shared" si="9"/>
        <v>9608.7800000000007</v>
      </c>
    </row>
    <row r="137" spans="1:8" ht="22.5" customHeight="1">
      <c r="A137" s="23"/>
      <c r="B137" s="34"/>
      <c r="C137" s="21"/>
      <c r="D137" s="24"/>
      <c r="E137" s="24"/>
      <c r="F137" s="25"/>
      <c r="G137" s="57">
        <f t="shared" si="8"/>
        <v>0</v>
      </c>
      <c r="H137" s="58">
        <f t="shared" si="9"/>
        <v>9608.7800000000007</v>
      </c>
    </row>
    <row r="138" spans="1:8" ht="22.5" customHeight="1">
      <c r="A138" s="23"/>
      <c r="B138" s="34"/>
      <c r="C138" s="21"/>
      <c r="D138" s="24"/>
      <c r="E138" s="24"/>
      <c r="F138" s="25"/>
      <c r="G138" s="57">
        <f t="shared" si="8"/>
        <v>0</v>
      </c>
      <c r="H138" s="58">
        <f t="shared" si="9"/>
        <v>9608.7800000000007</v>
      </c>
    </row>
    <row r="139" spans="1:8" ht="22.5" customHeight="1">
      <c r="A139" s="23"/>
      <c r="B139" s="34"/>
      <c r="C139" s="21"/>
      <c r="D139" s="24"/>
      <c r="E139" s="24"/>
      <c r="F139" s="25"/>
      <c r="G139" s="57">
        <f t="shared" si="8"/>
        <v>0</v>
      </c>
      <c r="H139" s="58">
        <f t="shared" si="9"/>
        <v>9608.7800000000007</v>
      </c>
    </row>
    <row r="140" spans="1:8" ht="22.5" customHeight="1">
      <c r="A140" s="23"/>
      <c r="B140" s="34"/>
      <c r="C140" s="21"/>
      <c r="D140" s="24"/>
      <c r="E140" s="24"/>
      <c r="F140" s="25"/>
      <c r="G140" s="57">
        <f t="shared" si="8"/>
        <v>0</v>
      </c>
      <c r="H140" s="58">
        <f t="shared" si="9"/>
        <v>9608.7800000000007</v>
      </c>
    </row>
    <row r="141" spans="1:8" ht="22.5" customHeight="1">
      <c r="A141" s="23"/>
      <c r="B141" s="34"/>
      <c r="C141" s="21"/>
      <c r="D141" s="24"/>
      <c r="E141" s="24"/>
      <c r="F141" s="25"/>
      <c r="G141" s="57">
        <f t="shared" si="8"/>
        <v>0</v>
      </c>
      <c r="H141" s="58">
        <f t="shared" si="9"/>
        <v>9608.7800000000007</v>
      </c>
    </row>
    <row r="142" spans="1:8" ht="22.5" customHeight="1">
      <c r="A142" s="23"/>
      <c r="B142" s="34"/>
      <c r="C142" s="21"/>
      <c r="D142" s="24"/>
      <c r="E142" s="24"/>
      <c r="F142" s="25"/>
      <c r="G142" s="57">
        <f t="shared" si="8"/>
        <v>0</v>
      </c>
      <c r="H142" s="58">
        <f t="shared" si="9"/>
        <v>9608.7800000000007</v>
      </c>
    </row>
    <row r="143" spans="1:8" ht="22.5" customHeight="1">
      <c r="A143" s="23"/>
      <c r="B143" s="34"/>
      <c r="C143" s="21"/>
      <c r="D143" s="24"/>
      <c r="E143" s="24"/>
      <c r="F143" s="25"/>
      <c r="G143" s="57">
        <f t="shared" si="8"/>
        <v>0</v>
      </c>
      <c r="H143" s="58">
        <f t="shared" ref="H143:H206" si="10">H142+G143</f>
        <v>9608.7800000000007</v>
      </c>
    </row>
    <row r="144" spans="1:8" ht="22.5" customHeight="1">
      <c r="A144" s="23"/>
      <c r="B144" s="34"/>
      <c r="C144" s="21"/>
      <c r="D144" s="24"/>
      <c r="E144" s="24"/>
      <c r="F144" s="25"/>
      <c r="G144" s="57">
        <f t="shared" si="8"/>
        <v>0</v>
      </c>
      <c r="H144" s="58">
        <f t="shared" si="10"/>
        <v>9608.7800000000007</v>
      </c>
    </row>
    <row r="145" spans="1:8" ht="22.5" customHeight="1">
      <c r="A145" s="23"/>
      <c r="B145" s="34"/>
      <c r="C145" s="21"/>
      <c r="D145" s="24"/>
      <c r="E145" s="24"/>
      <c r="F145" s="25"/>
      <c r="G145" s="57">
        <f t="shared" si="8"/>
        <v>0</v>
      </c>
      <c r="H145" s="58">
        <f t="shared" si="10"/>
        <v>9608.7800000000007</v>
      </c>
    </row>
    <row r="146" spans="1:8" ht="22.5" customHeight="1">
      <c r="A146" s="23"/>
      <c r="B146" s="34"/>
      <c r="C146" s="21"/>
      <c r="D146" s="24"/>
      <c r="E146" s="24"/>
      <c r="F146" s="25"/>
      <c r="G146" s="57">
        <f t="shared" si="8"/>
        <v>0</v>
      </c>
      <c r="H146" s="58">
        <f t="shared" si="10"/>
        <v>9608.7800000000007</v>
      </c>
    </row>
    <row r="147" spans="1:8" ht="22.5" customHeight="1">
      <c r="A147" s="23"/>
      <c r="B147" s="34"/>
      <c r="C147" s="21"/>
      <c r="D147" s="24"/>
      <c r="E147" s="24"/>
      <c r="F147" s="25"/>
      <c r="G147" s="57">
        <f t="shared" si="8"/>
        <v>0</v>
      </c>
      <c r="H147" s="58">
        <f t="shared" si="10"/>
        <v>9608.7800000000007</v>
      </c>
    </row>
    <row r="148" spans="1:8" ht="22.5" customHeight="1">
      <c r="A148" s="23"/>
      <c r="B148" s="34"/>
      <c r="C148" s="21"/>
      <c r="D148" s="24"/>
      <c r="E148" s="24"/>
      <c r="F148" s="25"/>
      <c r="G148" s="57">
        <f t="shared" si="8"/>
        <v>0</v>
      </c>
      <c r="H148" s="58">
        <f t="shared" si="10"/>
        <v>9608.7800000000007</v>
      </c>
    </row>
    <row r="149" spans="1:8" ht="22.5" customHeight="1">
      <c r="A149" s="23"/>
      <c r="B149" s="34"/>
      <c r="C149" s="21"/>
      <c r="D149" s="24"/>
      <c r="E149" s="24"/>
      <c r="F149" s="25"/>
      <c r="G149" s="57">
        <f t="shared" si="8"/>
        <v>0</v>
      </c>
      <c r="H149" s="58">
        <f t="shared" si="10"/>
        <v>9608.7800000000007</v>
      </c>
    </row>
    <row r="150" spans="1:8" ht="22.5" customHeight="1">
      <c r="A150" s="23"/>
      <c r="B150" s="34"/>
      <c r="C150" s="21"/>
      <c r="D150" s="24"/>
      <c r="E150" s="24"/>
      <c r="F150" s="25"/>
      <c r="G150" s="57">
        <f t="shared" si="8"/>
        <v>0</v>
      </c>
      <c r="H150" s="58">
        <f t="shared" si="10"/>
        <v>9608.7800000000007</v>
      </c>
    </row>
    <row r="151" spans="1:8" ht="22.5" customHeight="1">
      <c r="A151" s="23"/>
      <c r="B151" s="34"/>
      <c r="C151" s="21"/>
      <c r="D151" s="24"/>
      <c r="E151" s="24"/>
      <c r="F151" s="25"/>
      <c r="G151" s="57">
        <f t="shared" si="8"/>
        <v>0</v>
      </c>
      <c r="H151" s="58">
        <f t="shared" si="10"/>
        <v>9608.7800000000007</v>
      </c>
    </row>
    <row r="152" spans="1:8" ht="22.5" customHeight="1">
      <c r="A152" s="23"/>
      <c r="B152" s="34"/>
      <c r="C152" s="21"/>
      <c r="D152" s="24"/>
      <c r="E152" s="24"/>
      <c r="F152" s="25"/>
      <c r="G152" s="57">
        <f t="shared" si="8"/>
        <v>0</v>
      </c>
      <c r="H152" s="58">
        <f t="shared" si="10"/>
        <v>9608.7800000000007</v>
      </c>
    </row>
    <row r="153" spans="1:8" ht="22.5" customHeight="1">
      <c r="A153" s="23"/>
      <c r="B153" s="34"/>
      <c r="C153" s="21"/>
      <c r="D153" s="24"/>
      <c r="E153" s="24"/>
      <c r="F153" s="25"/>
      <c r="G153" s="57">
        <f t="shared" si="8"/>
        <v>0</v>
      </c>
      <c r="H153" s="58">
        <f t="shared" si="10"/>
        <v>9608.7800000000007</v>
      </c>
    </row>
    <row r="154" spans="1:8" ht="22.5" customHeight="1">
      <c r="A154" s="23"/>
      <c r="B154" s="34"/>
      <c r="C154" s="21"/>
      <c r="D154" s="24"/>
      <c r="E154" s="24"/>
      <c r="F154" s="25"/>
      <c r="G154" s="57">
        <f t="shared" si="8"/>
        <v>0</v>
      </c>
      <c r="H154" s="58">
        <f t="shared" si="10"/>
        <v>9608.7800000000007</v>
      </c>
    </row>
    <row r="155" spans="1:8" ht="22.5" customHeight="1">
      <c r="A155" s="23"/>
      <c r="B155" s="34"/>
      <c r="C155" s="21"/>
      <c r="D155" s="24"/>
      <c r="E155" s="24"/>
      <c r="F155" s="25"/>
      <c r="G155" s="57">
        <f t="shared" si="8"/>
        <v>0</v>
      </c>
      <c r="H155" s="58">
        <f t="shared" si="10"/>
        <v>9608.7800000000007</v>
      </c>
    </row>
    <row r="156" spans="1:8" ht="22.5" customHeight="1">
      <c r="A156" s="23"/>
      <c r="B156" s="34"/>
      <c r="C156" s="21"/>
      <c r="D156" s="24"/>
      <c r="E156" s="24"/>
      <c r="F156" s="25"/>
      <c r="G156" s="57">
        <f t="shared" si="8"/>
        <v>0</v>
      </c>
      <c r="H156" s="58">
        <f t="shared" si="10"/>
        <v>9608.7800000000007</v>
      </c>
    </row>
    <row r="157" spans="1:8" ht="22.5" customHeight="1">
      <c r="A157" s="23"/>
      <c r="B157" s="34"/>
      <c r="C157" s="21"/>
      <c r="D157" s="24"/>
      <c r="E157" s="24"/>
      <c r="F157" s="25"/>
      <c r="G157" s="57">
        <f t="shared" si="8"/>
        <v>0</v>
      </c>
      <c r="H157" s="58">
        <f t="shared" si="10"/>
        <v>9608.7800000000007</v>
      </c>
    </row>
    <row r="158" spans="1:8" ht="22.5" customHeight="1">
      <c r="A158" s="23"/>
      <c r="B158" s="34"/>
      <c r="C158" s="21"/>
      <c r="D158" s="24"/>
      <c r="E158" s="24"/>
      <c r="F158" s="25"/>
      <c r="G158" s="57">
        <f t="shared" si="8"/>
        <v>0</v>
      </c>
      <c r="H158" s="58">
        <f t="shared" si="10"/>
        <v>9608.7800000000007</v>
      </c>
    </row>
    <row r="159" spans="1:8" ht="22.5" customHeight="1">
      <c r="A159" s="23"/>
      <c r="B159" s="34"/>
      <c r="C159" s="21"/>
      <c r="D159" s="24"/>
      <c r="E159" s="24"/>
      <c r="F159" s="25"/>
      <c r="G159" s="57">
        <f t="shared" si="8"/>
        <v>0</v>
      </c>
      <c r="H159" s="58">
        <f t="shared" si="10"/>
        <v>9608.7800000000007</v>
      </c>
    </row>
    <row r="160" spans="1:8" ht="22.5" customHeight="1">
      <c r="A160" s="23"/>
      <c r="B160" s="34"/>
      <c r="C160" s="21"/>
      <c r="D160" s="24"/>
      <c r="E160" s="24"/>
      <c r="F160" s="25"/>
      <c r="G160" s="57">
        <f t="shared" si="8"/>
        <v>0</v>
      </c>
      <c r="H160" s="58">
        <f t="shared" si="10"/>
        <v>9608.7800000000007</v>
      </c>
    </row>
    <row r="161" spans="1:8" ht="22.5" customHeight="1">
      <c r="A161" s="23"/>
      <c r="B161" s="34"/>
      <c r="C161" s="21"/>
      <c r="D161" s="24"/>
      <c r="E161" s="24"/>
      <c r="F161" s="25"/>
      <c r="G161" s="57">
        <f t="shared" si="8"/>
        <v>0</v>
      </c>
      <c r="H161" s="58">
        <f t="shared" si="10"/>
        <v>9608.7800000000007</v>
      </c>
    </row>
    <row r="162" spans="1:8" ht="22.5" customHeight="1">
      <c r="A162" s="23"/>
      <c r="B162" s="34"/>
      <c r="C162" s="21"/>
      <c r="D162" s="24"/>
      <c r="E162" s="24"/>
      <c r="F162" s="25"/>
      <c r="G162" s="57">
        <f t="shared" si="8"/>
        <v>0</v>
      </c>
      <c r="H162" s="58">
        <f t="shared" si="10"/>
        <v>9608.7800000000007</v>
      </c>
    </row>
    <row r="163" spans="1:8" ht="22.5" customHeight="1">
      <c r="A163" s="23"/>
      <c r="B163" s="34"/>
      <c r="C163" s="21"/>
      <c r="D163" s="24"/>
      <c r="E163" s="24"/>
      <c r="F163" s="25"/>
      <c r="G163" s="57">
        <f t="shared" si="8"/>
        <v>0</v>
      </c>
      <c r="H163" s="58">
        <f t="shared" si="10"/>
        <v>9608.7800000000007</v>
      </c>
    </row>
    <row r="164" spans="1:8" ht="22.5" customHeight="1">
      <c r="A164" s="23"/>
      <c r="B164" s="34"/>
      <c r="C164" s="21"/>
      <c r="D164" s="24"/>
      <c r="E164" s="24"/>
      <c r="F164" s="25"/>
      <c r="G164" s="57">
        <f t="shared" si="8"/>
        <v>0</v>
      </c>
      <c r="H164" s="58">
        <f t="shared" si="10"/>
        <v>9608.7800000000007</v>
      </c>
    </row>
    <row r="165" spans="1:8" ht="22.5" customHeight="1">
      <c r="A165" s="23"/>
      <c r="B165" s="34"/>
      <c r="C165" s="21"/>
      <c r="D165" s="24"/>
      <c r="E165" s="24"/>
      <c r="F165" s="25"/>
      <c r="G165" s="57">
        <f t="shared" si="8"/>
        <v>0</v>
      </c>
      <c r="H165" s="58">
        <f t="shared" si="10"/>
        <v>9608.7800000000007</v>
      </c>
    </row>
    <row r="166" spans="1:8" ht="22.5" customHeight="1">
      <c r="A166" s="23"/>
      <c r="B166" s="34"/>
      <c r="C166" s="21"/>
      <c r="D166" s="24"/>
      <c r="E166" s="24"/>
      <c r="F166" s="25"/>
      <c r="G166" s="57">
        <f t="shared" si="8"/>
        <v>0</v>
      </c>
      <c r="H166" s="58">
        <f t="shared" si="10"/>
        <v>9608.7800000000007</v>
      </c>
    </row>
    <row r="167" spans="1:8" ht="22.5" customHeight="1">
      <c r="A167" s="23"/>
      <c r="B167" s="34"/>
      <c r="C167" s="21"/>
      <c r="D167" s="24"/>
      <c r="E167" s="24"/>
      <c r="F167" s="25"/>
      <c r="G167" s="57">
        <f t="shared" ref="G167:G198" si="11">IF(A167="Despesas",E167*-1,IF(A167="Receitas",E167,0))</f>
        <v>0</v>
      </c>
      <c r="H167" s="58">
        <f t="shared" si="10"/>
        <v>9608.7800000000007</v>
      </c>
    </row>
    <row r="168" spans="1:8" ht="22.5" customHeight="1">
      <c r="A168" s="23"/>
      <c r="B168" s="34"/>
      <c r="C168" s="21"/>
      <c r="D168" s="24"/>
      <c r="E168" s="24"/>
      <c r="F168" s="25"/>
      <c r="G168" s="57">
        <f t="shared" si="11"/>
        <v>0</v>
      </c>
      <c r="H168" s="58">
        <f t="shared" si="10"/>
        <v>9608.7800000000007</v>
      </c>
    </row>
    <row r="169" spans="1:8" ht="22.5" customHeight="1">
      <c r="A169" s="23"/>
      <c r="B169" s="34"/>
      <c r="C169" s="21"/>
      <c r="D169" s="24"/>
      <c r="E169" s="24"/>
      <c r="F169" s="25"/>
      <c r="G169" s="57">
        <f t="shared" si="11"/>
        <v>0</v>
      </c>
      <c r="H169" s="58">
        <f t="shared" si="10"/>
        <v>9608.7800000000007</v>
      </c>
    </row>
    <row r="170" spans="1:8" ht="22.5" customHeight="1">
      <c r="A170" s="23"/>
      <c r="B170" s="34"/>
      <c r="C170" s="21"/>
      <c r="D170" s="24"/>
      <c r="E170" s="24"/>
      <c r="F170" s="25"/>
      <c r="G170" s="57">
        <f t="shared" si="11"/>
        <v>0</v>
      </c>
      <c r="H170" s="58">
        <f t="shared" si="10"/>
        <v>9608.7800000000007</v>
      </c>
    </row>
    <row r="171" spans="1:8" ht="22.5" customHeight="1">
      <c r="A171" s="23"/>
      <c r="B171" s="34"/>
      <c r="C171" s="21"/>
      <c r="D171" s="24"/>
      <c r="E171" s="24"/>
      <c r="F171" s="25"/>
      <c r="G171" s="57">
        <f t="shared" si="11"/>
        <v>0</v>
      </c>
      <c r="H171" s="58">
        <f t="shared" si="10"/>
        <v>9608.7800000000007</v>
      </c>
    </row>
    <row r="172" spans="1:8" ht="22.5" customHeight="1">
      <c r="A172" s="23"/>
      <c r="B172" s="34"/>
      <c r="C172" s="21"/>
      <c r="D172" s="24"/>
      <c r="E172" s="24"/>
      <c r="F172" s="25"/>
      <c r="G172" s="57">
        <f t="shared" si="11"/>
        <v>0</v>
      </c>
      <c r="H172" s="58">
        <f t="shared" si="10"/>
        <v>9608.7800000000007</v>
      </c>
    </row>
    <row r="173" spans="1:8" ht="22.5" customHeight="1">
      <c r="A173" s="23"/>
      <c r="B173" s="34"/>
      <c r="C173" s="21"/>
      <c r="D173" s="24"/>
      <c r="E173" s="24"/>
      <c r="F173" s="25"/>
      <c r="G173" s="57">
        <f t="shared" si="11"/>
        <v>0</v>
      </c>
      <c r="H173" s="58">
        <f t="shared" si="10"/>
        <v>9608.7800000000007</v>
      </c>
    </row>
    <row r="174" spans="1:8" ht="22.5" customHeight="1">
      <c r="A174" s="23"/>
      <c r="B174" s="34"/>
      <c r="C174" s="21"/>
      <c r="D174" s="24"/>
      <c r="E174" s="24"/>
      <c r="F174" s="25"/>
      <c r="G174" s="57">
        <f t="shared" si="11"/>
        <v>0</v>
      </c>
      <c r="H174" s="58">
        <f t="shared" si="10"/>
        <v>9608.7800000000007</v>
      </c>
    </row>
    <row r="175" spans="1:8" ht="22.5" customHeight="1">
      <c r="A175" s="23"/>
      <c r="B175" s="34"/>
      <c r="C175" s="21"/>
      <c r="D175" s="24"/>
      <c r="E175" s="24"/>
      <c r="F175" s="25"/>
      <c r="G175" s="57">
        <f t="shared" si="11"/>
        <v>0</v>
      </c>
      <c r="H175" s="58">
        <f t="shared" si="10"/>
        <v>9608.7800000000007</v>
      </c>
    </row>
    <row r="176" spans="1:8" ht="22.5" customHeight="1">
      <c r="A176" s="23"/>
      <c r="B176" s="34"/>
      <c r="C176" s="21"/>
      <c r="D176" s="24"/>
      <c r="E176" s="24"/>
      <c r="F176" s="25"/>
      <c r="G176" s="57">
        <f t="shared" si="11"/>
        <v>0</v>
      </c>
      <c r="H176" s="58">
        <f t="shared" si="10"/>
        <v>9608.7800000000007</v>
      </c>
    </row>
    <row r="177" spans="1:8" ht="22.5" customHeight="1">
      <c r="A177" s="23"/>
      <c r="B177" s="34"/>
      <c r="C177" s="21"/>
      <c r="D177" s="24"/>
      <c r="E177" s="24"/>
      <c r="F177" s="25"/>
      <c r="G177" s="57">
        <f t="shared" si="11"/>
        <v>0</v>
      </c>
      <c r="H177" s="58">
        <f t="shared" si="10"/>
        <v>9608.7800000000007</v>
      </c>
    </row>
    <row r="178" spans="1:8" ht="22.5" customHeight="1">
      <c r="A178" s="23"/>
      <c r="B178" s="34"/>
      <c r="C178" s="21"/>
      <c r="D178" s="24"/>
      <c r="E178" s="24"/>
      <c r="F178" s="25"/>
      <c r="G178" s="57">
        <f t="shared" si="11"/>
        <v>0</v>
      </c>
      <c r="H178" s="58">
        <f t="shared" si="10"/>
        <v>9608.7800000000007</v>
      </c>
    </row>
    <row r="179" spans="1:8" ht="22.5" customHeight="1">
      <c r="A179" s="23"/>
      <c r="B179" s="34"/>
      <c r="C179" s="21"/>
      <c r="D179" s="24"/>
      <c r="E179" s="24"/>
      <c r="F179" s="25"/>
      <c r="G179" s="57">
        <f t="shared" si="11"/>
        <v>0</v>
      </c>
      <c r="H179" s="58">
        <f t="shared" si="10"/>
        <v>9608.7800000000007</v>
      </c>
    </row>
    <row r="180" spans="1:8" ht="22.5" customHeight="1">
      <c r="A180" s="23"/>
      <c r="B180" s="34"/>
      <c r="C180" s="21"/>
      <c r="D180" s="24"/>
      <c r="E180" s="24"/>
      <c r="F180" s="25"/>
      <c r="G180" s="57">
        <f t="shared" si="11"/>
        <v>0</v>
      </c>
      <c r="H180" s="58">
        <f t="shared" si="10"/>
        <v>9608.7800000000007</v>
      </c>
    </row>
    <row r="181" spans="1:8" ht="22.5" customHeight="1">
      <c r="A181" s="23"/>
      <c r="B181" s="34"/>
      <c r="C181" s="21"/>
      <c r="D181" s="24"/>
      <c r="E181" s="24"/>
      <c r="F181" s="25"/>
      <c r="G181" s="57">
        <f t="shared" si="11"/>
        <v>0</v>
      </c>
      <c r="H181" s="58">
        <f t="shared" si="10"/>
        <v>9608.7800000000007</v>
      </c>
    </row>
    <row r="182" spans="1:8" ht="22.5" customHeight="1">
      <c r="A182" s="23"/>
      <c r="B182" s="34"/>
      <c r="C182" s="21"/>
      <c r="D182" s="24"/>
      <c r="E182" s="24"/>
      <c r="F182" s="25"/>
      <c r="G182" s="57">
        <f t="shared" si="11"/>
        <v>0</v>
      </c>
      <c r="H182" s="58">
        <f t="shared" si="10"/>
        <v>9608.7800000000007</v>
      </c>
    </row>
    <row r="183" spans="1:8" ht="22.5" customHeight="1">
      <c r="A183" s="23"/>
      <c r="B183" s="34"/>
      <c r="C183" s="21"/>
      <c r="D183" s="24"/>
      <c r="E183" s="24"/>
      <c r="F183" s="25"/>
      <c r="G183" s="57">
        <f t="shared" si="11"/>
        <v>0</v>
      </c>
      <c r="H183" s="58">
        <f t="shared" si="10"/>
        <v>9608.7800000000007</v>
      </c>
    </row>
    <row r="184" spans="1:8" ht="22.5" customHeight="1">
      <c r="A184" s="23"/>
      <c r="B184" s="34"/>
      <c r="C184" s="21"/>
      <c r="D184" s="24"/>
      <c r="E184" s="24"/>
      <c r="F184" s="25"/>
      <c r="G184" s="57">
        <f t="shared" si="11"/>
        <v>0</v>
      </c>
      <c r="H184" s="58">
        <f t="shared" si="10"/>
        <v>9608.7800000000007</v>
      </c>
    </row>
    <row r="185" spans="1:8" ht="22.5" customHeight="1">
      <c r="A185" s="23"/>
      <c r="B185" s="34"/>
      <c r="C185" s="21"/>
      <c r="D185" s="24"/>
      <c r="E185" s="24"/>
      <c r="F185" s="25"/>
      <c r="G185" s="57">
        <f t="shared" si="11"/>
        <v>0</v>
      </c>
      <c r="H185" s="58">
        <f t="shared" si="10"/>
        <v>9608.7800000000007</v>
      </c>
    </row>
    <row r="186" spans="1:8" ht="22.5" customHeight="1">
      <c r="A186" s="23"/>
      <c r="B186" s="34"/>
      <c r="C186" s="21"/>
      <c r="D186" s="24"/>
      <c r="E186" s="24"/>
      <c r="F186" s="25"/>
      <c r="G186" s="57">
        <f t="shared" si="11"/>
        <v>0</v>
      </c>
      <c r="H186" s="58">
        <f t="shared" si="10"/>
        <v>9608.7800000000007</v>
      </c>
    </row>
    <row r="187" spans="1:8" ht="22.5" customHeight="1">
      <c r="A187" s="23"/>
      <c r="B187" s="34"/>
      <c r="C187" s="21"/>
      <c r="D187" s="24"/>
      <c r="E187" s="24"/>
      <c r="F187" s="25"/>
      <c r="G187" s="57">
        <f t="shared" si="11"/>
        <v>0</v>
      </c>
      <c r="H187" s="58">
        <f t="shared" si="10"/>
        <v>9608.7800000000007</v>
      </c>
    </row>
    <row r="188" spans="1:8" ht="22.5" customHeight="1">
      <c r="A188" s="23"/>
      <c r="B188" s="34"/>
      <c r="C188" s="21"/>
      <c r="D188" s="24"/>
      <c r="E188" s="24"/>
      <c r="F188" s="25"/>
      <c r="G188" s="57">
        <f t="shared" si="11"/>
        <v>0</v>
      </c>
      <c r="H188" s="58">
        <f t="shared" si="10"/>
        <v>9608.7800000000007</v>
      </c>
    </row>
    <row r="189" spans="1:8" ht="22.5" customHeight="1">
      <c r="A189" s="23"/>
      <c r="B189" s="34"/>
      <c r="C189" s="21"/>
      <c r="D189" s="24"/>
      <c r="E189" s="24"/>
      <c r="F189" s="25"/>
      <c r="G189" s="57">
        <f t="shared" si="11"/>
        <v>0</v>
      </c>
      <c r="H189" s="58">
        <f t="shared" si="10"/>
        <v>9608.7800000000007</v>
      </c>
    </row>
    <row r="190" spans="1:8" ht="22.5" customHeight="1">
      <c r="A190" s="23"/>
      <c r="B190" s="34"/>
      <c r="C190" s="21"/>
      <c r="D190" s="24"/>
      <c r="E190" s="24"/>
      <c r="F190" s="25"/>
      <c r="G190" s="57">
        <f t="shared" si="11"/>
        <v>0</v>
      </c>
      <c r="H190" s="58">
        <f t="shared" si="10"/>
        <v>9608.7800000000007</v>
      </c>
    </row>
    <row r="191" spans="1:8" ht="22.5" customHeight="1">
      <c r="A191" s="23"/>
      <c r="B191" s="34"/>
      <c r="C191" s="21"/>
      <c r="D191" s="24"/>
      <c r="E191" s="24"/>
      <c r="F191" s="25"/>
      <c r="G191" s="57">
        <f t="shared" si="11"/>
        <v>0</v>
      </c>
      <c r="H191" s="58">
        <f t="shared" si="10"/>
        <v>9608.7800000000007</v>
      </c>
    </row>
    <row r="192" spans="1:8" ht="22.5" customHeight="1">
      <c r="A192" s="23"/>
      <c r="B192" s="34"/>
      <c r="C192" s="21"/>
      <c r="D192" s="24"/>
      <c r="E192" s="24"/>
      <c r="F192" s="25"/>
      <c r="G192" s="57">
        <f t="shared" si="11"/>
        <v>0</v>
      </c>
      <c r="H192" s="58">
        <f t="shared" si="10"/>
        <v>9608.7800000000007</v>
      </c>
    </row>
    <row r="193" spans="1:8" ht="22.5" customHeight="1">
      <c r="A193" s="23"/>
      <c r="B193" s="34"/>
      <c r="C193" s="21"/>
      <c r="D193" s="24"/>
      <c r="E193" s="24"/>
      <c r="F193" s="25"/>
      <c r="G193" s="57">
        <f t="shared" si="11"/>
        <v>0</v>
      </c>
      <c r="H193" s="58">
        <f t="shared" si="10"/>
        <v>9608.7800000000007</v>
      </c>
    </row>
    <row r="194" spans="1:8" ht="22.5" customHeight="1">
      <c r="A194" s="23"/>
      <c r="B194" s="34"/>
      <c r="C194" s="21"/>
      <c r="D194" s="24"/>
      <c r="E194" s="24"/>
      <c r="F194" s="25"/>
      <c r="G194" s="57">
        <f t="shared" si="11"/>
        <v>0</v>
      </c>
      <c r="H194" s="58">
        <f t="shared" si="10"/>
        <v>9608.7800000000007</v>
      </c>
    </row>
    <row r="195" spans="1:8" ht="22.5" customHeight="1">
      <c r="A195" s="23"/>
      <c r="B195" s="34"/>
      <c r="C195" s="21"/>
      <c r="D195" s="24"/>
      <c r="E195" s="24"/>
      <c r="F195" s="25"/>
      <c r="G195" s="57">
        <f t="shared" si="11"/>
        <v>0</v>
      </c>
      <c r="H195" s="58">
        <f t="shared" si="10"/>
        <v>9608.7800000000007</v>
      </c>
    </row>
    <row r="196" spans="1:8" ht="22.5" customHeight="1">
      <c r="A196" s="23"/>
      <c r="B196" s="34"/>
      <c r="C196" s="21"/>
      <c r="D196" s="24"/>
      <c r="E196" s="24"/>
      <c r="F196" s="25"/>
      <c r="G196" s="57">
        <f t="shared" si="11"/>
        <v>0</v>
      </c>
      <c r="H196" s="58">
        <f t="shared" si="10"/>
        <v>9608.7800000000007</v>
      </c>
    </row>
    <row r="197" spans="1:8" ht="22.5" customHeight="1">
      <c r="A197" s="23"/>
      <c r="B197" s="34"/>
      <c r="C197" s="21"/>
      <c r="D197" s="24"/>
      <c r="E197" s="24"/>
      <c r="F197" s="25"/>
      <c r="G197" s="57">
        <f t="shared" si="11"/>
        <v>0</v>
      </c>
      <c r="H197" s="58">
        <f t="shared" si="10"/>
        <v>9608.7800000000007</v>
      </c>
    </row>
    <row r="198" spans="1:8" ht="22.5" customHeight="1">
      <c r="A198" s="23"/>
      <c r="B198" s="34"/>
      <c r="C198" s="21"/>
      <c r="D198" s="24"/>
      <c r="E198" s="24"/>
      <c r="F198" s="25"/>
      <c r="G198" s="57">
        <f t="shared" si="11"/>
        <v>0</v>
      </c>
      <c r="H198" s="58">
        <f t="shared" si="10"/>
        <v>9608.7800000000007</v>
      </c>
    </row>
    <row r="199" spans="1:8" ht="22.5" customHeight="1">
      <c r="A199" s="23"/>
      <c r="B199" s="34"/>
      <c r="C199" s="21"/>
      <c r="D199" s="24"/>
      <c r="E199" s="24"/>
      <c r="F199" s="25"/>
      <c r="G199" s="57">
        <f t="shared" ref="G199:G206" si="12">IF(A199="Despesas",E199*-1,IF(A199="Receitas",E199,0))</f>
        <v>0</v>
      </c>
      <c r="H199" s="58">
        <f t="shared" si="10"/>
        <v>9608.7800000000007</v>
      </c>
    </row>
    <row r="200" spans="1:8" ht="22.5" customHeight="1">
      <c r="A200" s="23"/>
      <c r="B200" s="34"/>
      <c r="C200" s="21"/>
      <c r="D200" s="24"/>
      <c r="E200" s="24"/>
      <c r="F200" s="25"/>
      <c r="G200" s="57">
        <f t="shared" si="12"/>
        <v>0</v>
      </c>
      <c r="H200" s="58">
        <f t="shared" si="10"/>
        <v>9608.7800000000007</v>
      </c>
    </row>
    <row r="201" spans="1:8" ht="22.5" customHeight="1">
      <c r="A201" s="23"/>
      <c r="B201" s="34"/>
      <c r="C201" s="21"/>
      <c r="D201" s="24"/>
      <c r="E201" s="24"/>
      <c r="F201" s="25"/>
      <c r="G201" s="57">
        <f t="shared" si="12"/>
        <v>0</v>
      </c>
      <c r="H201" s="58">
        <f t="shared" si="10"/>
        <v>9608.7800000000007</v>
      </c>
    </row>
    <row r="202" spans="1:8" ht="22.5" customHeight="1">
      <c r="A202" s="23"/>
      <c r="B202" s="34"/>
      <c r="C202" s="21"/>
      <c r="D202" s="24"/>
      <c r="E202" s="24"/>
      <c r="F202" s="25"/>
      <c r="G202" s="57">
        <f t="shared" si="12"/>
        <v>0</v>
      </c>
      <c r="H202" s="58">
        <f t="shared" si="10"/>
        <v>9608.7800000000007</v>
      </c>
    </row>
    <row r="203" spans="1:8" ht="22.5" customHeight="1">
      <c r="A203" s="23"/>
      <c r="B203" s="34"/>
      <c r="C203" s="21"/>
      <c r="D203" s="24"/>
      <c r="E203" s="24"/>
      <c r="F203" s="25"/>
      <c r="G203" s="57">
        <f t="shared" si="12"/>
        <v>0</v>
      </c>
      <c r="H203" s="58">
        <f t="shared" si="10"/>
        <v>9608.7800000000007</v>
      </c>
    </row>
    <row r="204" spans="1:8" ht="22.5" customHeight="1">
      <c r="A204" s="23"/>
      <c r="B204" s="34"/>
      <c r="C204" s="21"/>
      <c r="D204" s="24"/>
      <c r="E204" s="24"/>
      <c r="F204" s="25"/>
      <c r="G204" s="57">
        <f t="shared" si="12"/>
        <v>0</v>
      </c>
      <c r="H204" s="58">
        <f t="shared" si="10"/>
        <v>9608.7800000000007</v>
      </c>
    </row>
    <row r="205" spans="1:8" ht="22.5" customHeight="1">
      <c r="A205" s="23"/>
      <c r="B205" s="34"/>
      <c r="C205" s="21"/>
      <c r="D205" s="24"/>
      <c r="E205" s="24"/>
      <c r="F205" s="25"/>
      <c r="G205" s="57">
        <f t="shared" si="12"/>
        <v>0</v>
      </c>
      <c r="H205" s="58">
        <f t="shared" si="10"/>
        <v>9608.7800000000007</v>
      </c>
    </row>
    <row r="206" spans="1:8" ht="22.5" customHeight="1">
      <c r="A206" s="23"/>
      <c r="B206" s="34"/>
      <c r="C206" s="21"/>
      <c r="D206" s="24"/>
      <c r="E206" s="24"/>
      <c r="F206" s="25"/>
      <c r="G206" s="57">
        <f t="shared" si="12"/>
        <v>0</v>
      </c>
      <c r="H206" s="58">
        <f t="shared" si="10"/>
        <v>9608.7800000000007</v>
      </c>
    </row>
    <row r="207" spans="1:8" ht="22.5" customHeight="1">
      <c r="A207" s="54" t="s">
        <v>71</v>
      </c>
      <c r="B207" s="34" t="s">
        <v>72</v>
      </c>
      <c r="C207" s="54" t="s">
        <v>71</v>
      </c>
      <c r="D207" s="54" t="s">
        <v>71</v>
      </c>
      <c r="E207" s="54" t="s">
        <v>71</v>
      </c>
      <c r="F207" s="54" t="s">
        <v>71</v>
      </c>
      <c r="G207" s="59" t="s">
        <v>71</v>
      </c>
      <c r="H207" s="60" t="s">
        <v>72</v>
      </c>
    </row>
  </sheetData>
  <mergeCells count="4">
    <mergeCell ref="A1:A4"/>
    <mergeCell ref="C1:E3"/>
    <mergeCell ref="F1:F3"/>
    <mergeCell ref="H2:H3"/>
  </mergeCells>
  <conditionalFormatting sqref="H7:H207">
    <cfRule type="cellIs" dxfId="2" priority="1" operator="lessThan">
      <formula>0</formula>
    </cfRule>
  </conditionalFormatting>
  <dataValidations count="6">
    <dataValidation type="list" allowBlank="1" sqref="C7:C206" xr:uid="{F87D604C-C4B9-42FC-B85E-E267A073957A}">
      <formula1>Bancos</formula1>
    </dataValidation>
    <dataValidation type="list" allowBlank="1" sqref="B7:B206" xr:uid="{56A9C69C-8E03-41CA-8A21-021D6A8B96EA}">
      <formula1>INDIRECT(A7)</formula1>
    </dataValidation>
    <dataValidation type="list" allowBlank="1" sqref="B207" xr:uid="{0DE5ABFB-D171-453D-9631-9C6630B39825}">
      <formula1>INDIRECT($A$7)</formula1>
    </dataValidation>
    <dataValidation type="list" allowBlank="1" sqref="C207:G207 A207 C6" xr:uid="{D912443B-6BC4-4254-A4D4-3F1E107F43A5}">
      <formula1>#REF!</formula1>
    </dataValidation>
    <dataValidation type="list" allowBlank="1" sqref="A7:A206 A6:B6" xr:uid="{0925DEA5-00F0-4F89-8D48-C1F39E6B33B2}">
      <formula1>"Receitas,Despesas"</formula1>
    </dataValidation>
    <dataValidation type="custom" allowBlank="1" showDropDown="1" sqref="F6:F206" xr:uid="{D5CAE2AD-7E1F-4321-ABBB-ED89739D255E}">
      <formula1>OR(NOT(ISERROR(DATEVALUE(F6))), AND(ISNUMBER(F6), LEFT(CELL("format", F6))="D"))</formula1>
    </dataValidation>
  </dataValidation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94B5B-4F83-476B-A20E-89C50FFEB357}">
  <sheetPr>
    <outlinePr summaryBelow="0" summaryRight="0"/>
  </sheetPr>
  <dimension ref="A1:J207"/>
  <sheetViews>
    <sheetView showGridLines="0" workbookViewId="0">
      <selection activeCell="H2" sqref="H2:H3"/>
    </sheetView>
  </sheetViews>
  <sheetFormatPr defaultColWidth="12.5703125" defaultRowHeight="15.75" customHeight="1"/>
  <cols>
    <col min="1" max="1" width="9.28515625" style="27" bestFit="1" customWidth="1"/>
    <col min="2" max="2" width="30.85546875" style="27" bestFit="1" customWidth="1"/>
    <col min="3" max="3" width="20.85546875" style="27" bestFit="1" customWidth="1"/>
    <col min="4" max="4" width="13.85546875" style="27" bestFit="1" customWidth="1"/>
    <col min="5" max="5" width="11.7109375" bestFit="1" customWidth="1"/>
    <col min="6" max="6" width="16.28515625" style="27" customWidth="1"/>
    <col min="7" max="7" width="11.7109375" style="27" hidden="1" customWidth="1"/>
    <col min="8" max="8" width="22.5703125" style="33" bestFit="1" customWidth="1"/>
    <col min="9" max="10" width="12.5703125" style="27" hidden="1" customWidth="1"/>
  </cols>
  <sheetData>
    <row r="1" spans="1:8" ht="19.5" customHeight="1">
      <c r="A1" s="70"/>
      <c r="B1" s="13"/>
      <c r="C1" s="74" t="s">
        <v>63</v>
      </c>
      <c r="D1" s="66"/>
      <c r="E1" s="62"/>
      <c r="F1" s="73" t="s">
        <v>44</v>
      </c>
      <c r="G1" s="14"/>
      <c r="H1" s="35" t="s">
        <v>43</v>
      </c>
    </row>
    <row r="2" spans="1:8" ht="12.75" customHeight="1">
      <c r="A2" s="66"/>
      <c r="B2" s="15"/>
      <c r="C2" s="66"/>
      <c r="D2" s="66"/>
      <c r="E2" s="62"/>
      <c r="F2" s="73"/>
      <c r="G2" s="14"/>
      <c r="H2" s="72">
        <f>OUT!H206</f>
        <v>9608.7800000000007</v>
      </c>
    </row>
    <row r="3" spans="1:8" ht="23.25" customHeight="1">
      <c r="A3" s="66"/>
      <c r="B3" s="12"/>
      <c r="C3" s="66"/>
      <c r="D3" s="66"/>
      <c r="E3" s="62"/>
      <c r="F3" s="73"/>
      <c r="G3" s="14"/>
      <c r="H3" s="72"/>
    </row>
    <row r="4" spans="1:8" ht="12.75">
      <c r="A4" s="66"/>
      <c r="B4" s="13"/>
      <c r="C4" s="16"/>
      <c r="D4" s="16"/>
      <c r="E4" s="16"/>
      <c r="F4" s="14"/>
      <c r="G4" s="14"/>
      <c r="H4" s="31"/>
    </row>
    <row r="5" spans="1:8" ht="22.5" customHeight="1">
      <c r="A5" s="28" t="s">
        <v>45</v>
      </c>
      <c r="B5" s="29" t="s">
        <v>46</v>
      </c>
      <c r="C5" s="30" t="s">
        <v>47</v>
      </c>
      <c r="D5" s="29" t="s">
        <v>48</v>
      </c>
      <c r="E5" s="36" t="s">
        <v>49</v>
      </c>
      <c r="F5" s="29" t="s">
        <v>50</v>
      </c>
      <c r="G5" s="32" t="s">
        <v>67</v>
      </c>
      <c r="H5" s="36" t="s">
        <v>51</v>
      </c>
    </row>
    <row r="6" spans="1:8" ht="22.5" customHeight="1">
      <c r="A6" s="26"/>
      <c r="B6" s="26"/>
      <c r="C6" s="26"/>
      <c r="D6" s="26" t="s">
        <v>52</v>
      </c>
      <c r="E6" s="17">
        <f>H2</f>
        <v>9608.7800000000007</v>
      </c>
      <c r="F6" s="18">
        <v>46326</v>
      </c>
      <c r="G6" s="55">
        <f>E6</f>
        <v>9608.7800000000007</v>
      </c>
      <c r="H6" s="56">
        <f>E6</f>
        <v>9608.7800000000007</v>
      </c>
    </row>
    <row r="7" spans="1:8" ht="22.5" customHeight="1">
      <c r="A7" s="34"/>
      <c r="B7" s="34"/>
      <c r="C7" s="21"/>
      <c r="D7" s="22"/>
      <c r="E7" s="22"/>
      <c r="F7" s="19"/>
      <c r="G7" s="57">
        <f t="shared" ref="G7:G38" si="0">IF(A7="Despesas",E7*-1,IF(A7="Receitas",E7,0))</f>
        <v>0</v>
      </c>
      <c r="H7" s="58">
        <f t="shared" ref="H7:H38" si="1">H6+G7</f>
        <v>9608.7800000000007</v>
      </c>
    </row>
    <row r="8" spans="1:8" ht="22.5" customHeight="1">
      <c r="A8" s="34"/>
      <c r="B8" s="34"/>
      <c r="C8" s="21"/>
      <c r="D8" s="22"/>
      <c r="E8" s="22"/>
      <c r="F8" s="20"/>
      <c r="G8" s="57">
        <f t="shared" si="0"/>
        <v>0</v>
      </c>
      <c r="H8" s="58">
        <f t="shared" si="1"/>
        <v>9608.7800000000007</v>
      </c>
    </row>
    <row r="9" spans="1:8" ht="22.5" customHeight="1">
      <c r="A9" s="21"/>
      <c r="B9" s="34"/>
      <c r="C9" s="21"/>
      <c r="D9" s="22"/>
      <c r="E9" s="22"/>
      <c r="F9" s="19"/>
      <c r="G9" s="57">
        <f t="shared" si="0"/>
        <v>0</v>
      </c>
      <c r="H9" s="58">
        <f t="shared" si="1"/>
        <v>9608.7800000000007</v>
      </c>
    </row>
    <row r="10" spans="1:8" ht="22.5" customHeight="1">
      <c r="A10" s="21"/>
      <c r="B10" s="34"/>
      <c r="C10" s="21"/>
      <c r="D10" s="22"/>
      <c r="E10" s="22"/>
      <c r="F10" s="20"/>
      <c r="G10" s="57">
        <f t="shared" si="0"/>
        <v>0</v>
      </c>
      <c r="H10" s="58">
        <f t="shared" si="1"/>
        <v>9608.7800000000007</v>
      </c>
    </row>
    <row r="11" spans="1:8" ht="22.5" customHeight="1">
      <c r="A11" s="21"/>
      <c r="B11" s="34"/>
      <c r="C11" s="21"/>
      <c r="D11" s="22"/>
      <c r="E11" s="22"/>
      <c r="F11" s="19"/>
      <c r="G11" s="57">
        <f t="shared" si="0"/>
        <v>0</v>
      </c>
      <c r="H11" s="58">
        <f t="shared" si="1"/>
        <v>9608.7800000000007</v>
      </c>
    </row>
    <row r="12" spans="1:8" ht="22.5" customHeight="1">
      <c r="A12" s="21"/>
      <c r="B12" s="34"/>
      <c r="C12" s="21"/>
      <c r="D12" s="22"/>
      <c r="E12" s="22"/>
      <c r="F12" s="20"/>
      <c r="G12" s="57">
        <f t="shared" si="0"/>
        <v>0</v>
      </c>
      <c r="H12" s="58">
        <f t="shared" si="1"/>
        <v>9608.7800000000007</v>
      </c>
    </row>
    <row r="13" spans="1:8" ht="22.5" customHeight="1">
      <c r="A13" s="21"/>
      <c r="B13" s="34"/>
      <c r="C13" s="21"/>
      <c r="D13" s="22"/>
      <c r="E13" s="22"/>
      <c r="F13" s="19"/>
      <c r="G13" s="57">
        <f t="shared" si="0"/>
        <v>0</v>
      </c>
      <c r="H13" s="58">
        <f t="shared" si="1"/>
        <v>9608.7800000000007</v>
      </c>
    </row>
    <row r="14" spans="1:8" ht="22.5" customHeight="1">
      <c r="A14" s="21"/>
      <c r="B14" s="34"/>
      <c r="C14" s="21"/>
      <c r="D14" s="22"/>
      <c r="E14" s="22"/>
      <c r="F14" s="20"/>
      <c r="G14" s="57">
        <f t="shared" si="0"/>
        <v>0</v>
      </c>
      <c r="H14" s="58">
        <f t="shared" si="1"/>
        <v>9608.7800000000007</v>
      </c>
    </row>
    <row r="15" spans="1:8" ht="22.5" customHeight="1">
      <c r="A15" s="21"/>
      <c r="B15" s="34"/>
      <c r="C15" s="21"/>
      <c r="D15" s="22"/>
      <c r="E15" s="22"/>
      <c r="F15" s="19"/>
      <c r="G15" s="57">
        <f t="shared" si="0"/>
        <v>0</v>
      </c>
      <c r="H15" s="58">
        <f t="shared" si="1"/>
        <v>9608.7800000000007</v>
      </c>
    </row>
    <row r="16" spans="1:8" ht="22.5" customHeight="1">
      <c r="A16" s="21"/>
      <c r="B16" s="34"/>
      <c r="C16" s="21"/>
      <c r="D16" s="22"/>
      <c r="E16" s="22"/>
      <c r="F16" s="20"/>
      <c r="G16" s="57">
        <f t="shared" si="0"/>
        <v>0</v>
      </c>
      <c r="H16" s="58">
        <f t="shared" si="1"/>
        <v>9608.7800000000007</v>
      </c>
    </row>
    <row r="17" spans="1:8" ht="22.5" customHeight="1">
      <c r="A17" s="21"/>
      <c r="B17" s="34"/>
      <c r="C17" s="21"/>
      <c r="D17" s="22"/>
      <c r="E17" s="22"/>
      <c r="F17" s="19"/>
      <c r="G17" s="57">
        <f t="shared" si="0"/>
        <v>0</v>
      </c>
      <c r="H17" s="58">
        <f t="shared" si="1"/>
        <v>9608.7800000000007</v>
      </c>
    </row>
    <row r="18" spans="1:8" ht="22.5" customHeight="1">
      <c r="A18" s="21"/>
      <c r="B18" s="34"/>
      <c r="C18" s="21"/>
      <c r="D18" s="22"/>
      <c r="E18" s="22"/>
      <c r="F18" s="20"/>
      <c r="G18" s="57">
        <f t="shared" si="0"/>
        <v>0</v>
      </c>
      <c r="H18" s="58">
        <f t="shared" si="1"/>
        <v>9608.7800000000007</v>
      </c>
    </row>
    <row r="19" spans="1:8" ht="22.5" customHeight="1">
      <c r="A19" s="21"/>
      <c r="B19" s="34"/>
      <c r="C19" s="21"/>
      <c r="D19" s="22"/>
      <c r="E19" s="22"/>
      <c r="F19" s="19"/>
      <c r="G19" s="57">
        <f t="shared" si="0"/>
        <v>0</v>
      </c>
      <c r="H19" s="58">
        <f t="shared" si="1"/>
        <v>9608.7800000000007</v>
      </c>
    </row>
    <row r="20" spans="1:8" ht="22.5" customHeight="1">
      <c r="A20" s="21"/>
      <c r="B20" s="34"/>
      <c r="C20" s="21"/>
      <c r="D20" s="22"/>
      <c r="E20" s="22"/>
      <c r="F20" s="20"/>
      <c r="G20" s="57">
        <f t="shared" si="0"/>
        <v>0</v>
      </c>
      <c r="H20" s="58">
        <f t="shared" si="1"/>
        <v>9608.7800000000007</v>
      </c>
    </row>
    <row r="21" spans="1:8" ht="22.5" customHeight="1">
      <c r="A21" s="21"/>
      <c r="B21" s="34"/>
      <c r="C21" s="21"/>
      <c r="D21" s="22"/>
      <c r="E21" s="22"/>
      <c r="F21" s="19"/>
      <c r="G21" s="57">
        <f t="shared" si="0"/>
        <v>0</v>
      </c>
      <c r="H21" s="58">
        <f t="shared" si="1"/>
        <v>9608.7800000000007</v>
      </c>
    </row>
    <row r="22" spans="1:8" ht="22.5" customHeight="1">
      <c r="A22" s="21"/>
      <c r="B22" s="34"/>
      <c r="C22" s="21"/>
      <c r="D22" s="22"/>
      <c r="E22" s="22"/>
      <c r="F22" s="20"/>
      <c r="G22" s="57">
        <f t="shared" si="0"/>
        <v>0</v>
      </c>
      <c r="H22" s="58">
        <f t="shared" si="1"/>
        <v>9608.7800000000007</v>
      </c>
    </row>
    <row r="23" spans="1:8" ht="22.5" customHeight="1">
      <c r="A23" s="21"/>
      <c r="B23" s="34"/>
      <c r="C23" s="21"/>
      <c r="D23" s="22"/>
      <c r="E23" s="22"/>
      <c r="F23" s="19"/>
      <c r="G23" s="57">
        <f t="shared" si="0"/>
        <v>0</v>
      </c>
      <c r="H23" s="58">
        <f t="shared" si="1"/>
        <v>9608.7800000000007</v>
      </c>
    </row>
    <row r="24" spans="1:8" ht="22.5" customHeight="1">
      <c r="A24" s="21"/>
      <c r="B24" s="34"/>
      <c r="C24" s="21"/>
      <c r="D24" s="22"/>
      <c r="E24" s="22"/>
      <c r="F24" s="20"/>
      <c r="G24" s="57">
        <f t="shared" si="0"/>
        <v>0</v>
      </c>
      <c r="H24" s="58">
        <f t="shared" si="1"/>
        <v>9608.7800000000007</v>
      </c>
    </row>
    <row r="25" spans="1:8" ht="22.5" customHeight="1">
      <c r="A25" s="21"/>
      <c r="B25" s="34"/>
      <c r="C25" s="21"/>
      <c r="D25" s="22"/>
      <c r="E25" s="22"/>
      <c r="F25" s="19"/>
      <c r="G25" s="57">
        <f t="shared" si="0"/>
        <v>0</v>
      </c>
      <c r="H25" s="58">
        <f t="shared" si="1"/>
        <v>9608.7800000000007</v>
      </c>
    </row>
    <row r="26" spans="1:8" ht="22.5" customHeight="1">
      <c r="A26" s="21"/>
      <c r="B26" s="34"/>
      <c r="C26" s="21"/>
      <c r="D26" s="22"/>
      <c r="E26" s="22"/>
      <c r="F26" s="20"/>
      <c r="G26" s="57">
        <f t="shared" si="0"/>
        <v>0</v>
      </c>
      <c r="H26" s="58">
        <f t="shared" si="1"/>
        <v>9608.7800000000007</v>
      </c>
    </row>
    <row r="27" spans="1:8" ht="22.5" customHeight="1">
      <c r="A27" s="21"/>
      <c r="B27" s="34"/>
      <c r="C27" s="21"/>
      <c r="D27" s="22"/>
      <c r="E27" s="22"/>
      <c r="F27" s="19"/>
      <c r="G27" s="57">
        <f t="shared" si="0"/>
        <v>0</v>
      </c>
      <c r="H27" s="58">
        <f t="shared" si="1"/>
        <v>9608.7800000000007</v>
      </c>
    </row>
    <row r="28" spans="1:8" ht="22.5" customHeight="1">
      <c r="A28" s="21"/>
      <c r="B28" s="34"/>
      <c r="C28" s="21"/>
      <c r="D28" s="22"/>
      <c r="E28" s="22"/>
      <c r="F28" s="20"/>
      <c r="G28" s="57">
        <f t="shared" si="0"/>
        <v>0</v>
      </c>
      <c r="H28" s="58">
        <f t="shared" si="1"/>
        <v>9608.7800000000007</v>
      </c>
    </row>
    <row r="29" spans="1:8" ht="22.5" customHeight="1">
      <c r="A29" s="21"/>
      <c r="B29" s="34"/>
      <c r="C29" s="21"/>
      <c r="D29" s="22"/>
      <c r="E29" s="22"/>
      <c r="F29" s="19"/>
      <c r="G29" s="57">
        <f t="shared" si="0"/>
        <v>0</v>
      </c>
      <c r="H29" s="58">
        <f t="shared" si="1"/>
        <v>9608.7800000000007</v>
      </c>
    </row>
    <row r="30" spans="1:8" ht="22.5" customHeight="1">
      <c r="A30" s="21"/>
      <c r="B30" s="34"/>
      <c r="C30" s="21"/>
      <c r="D30" s="22"/>
      <c r="E30" s="22"/>
      <c r="F30" s="20"/>
      <c r="G30" s="57">
        <f t="shared" si="0"/>
        <v>0</v>
      </c>
      <c r="H30" s="58">
        <f t="shared" si="1"/>
        <v>9608.7800000000007</v>
      </c>
    </row>
    <row r="31" spans="1:8" ht="22.5" customHeight="1">
      <c r="A31" s="21"/>
      <c r="B31" s="34"/>
      <c r="C31" s="21"/>
      <c r="D31" s="22"/>
      <c r="E31" s="22"/>
      <c r="F31" s="19"/>
      <c r="G31" s="57">
        <f t="shared" si="0"/>
        <v>0</v>
      </c>
      <c r="H31" s="58">
        <f t="shared" si="1"/>
        <v>9608.7800000000007</v>
      </c>
    </row>
    <row r="32" spans="1:8" ht="22.5" customHeight="1">
      <c r="A32" s="21"/>
      <c r="B32" s="34"/>
      <c r="C32" s="21"/>
      <c r="D32" s="22"/>
      <c r="E32" s="22"/>
      <c r="F32" s="20"/>
      <c r="G32" s="57">
        <f t="shared" si="0"/>
        <v>0</v>
      </c>
      <c r="H32" s="58">
        <f t="shared" si="1"/>
        <v>9608.7800000000007</v>
      </c>
    </row>
    <row r="33" spans="1:8" ht="22.5" customHeight="1">
      <c r="A33" s="21"/>
      <c r="B33" s="34"/>
      <c r="C33" s="21"/>
      <c r="D33" s="22"/>
      <c r="E33" s="22"/>
      <c r="F33" s="19"/>
      <c r="G33" s="57">
        <f t="shared" si="0"/>
        <v>0</v>
      </c>
      <c r="H33" s="58">
        <f t="shared" si="1"/>
        <v>9608.7800000000007</v>
      </c>
    </row>
    <row r="34" spans="1:8" ht="22.5" customHeight="1">
      <c r="A34" s="23"/>
      <c r="B34" s="34"/>
      <c r="C34" s="21"/>
      <c r="D34" s="24"/>
      <c r="E34" s="24"/>
      <c r="F34" s="20"/>
      <c r="G34" s="57">
        <f t="shared" si="0"/>
        <v>0</v>
      </c>
      <c r="H34" s="58">
        <f t="shared" si="1"/>
        <v>9608.7800000000007</v>
      </c>
    </row>
    <row r="35" spans="1:8" ht="22.5" customHeight="1">
      <c r="A35" s="23"/>
      <c r="B35" s="34"/>
      <c r="C35" s="21"/>
      <c r="D35" s="24"/>
      <c r="E35" s="24"/>
      <c r="F35" s="19"/>
      <c r="G35" s="57">
        <f t="shared" si="0"/>
        <v>0</v>
      </c>
      <c r="H35" s="58">
        <f t="shared" si="1"/>
        <v>9608.7800000000007</v>
      </c>
    </row>
    <row r="36" spans="1:8" ht="22.5" customHeight="1">
      <c r="A36" s="23"/>
      <c r="B36" s="34"/>
      <c r="C36" s="21"/>
      <c r="D36" s="24"/>
      <c r="E36" s="24"/>
      <c r="F36" s="20"/>
      <c r="G36" s="57">
        <f t="shared" si="0"/>
        <v>0</v>
      </c>
      <c r="H36" s="58">
        <f t="shared" si="1"/>
        <v>9608.7800000000007</v>
      </c>
    </row>
    <row r="37" spans="1:8" ht="22.5" customHeight="1">
      <c r="A37" s="23"/>
      <c r="B37" s="34"/>
      <c r="C37" s="21"/>
      <c r="D37" s="24"/>
      <c r="E37" s="24"/>
      <c r="F37" s="19"/>
      <c r="G37" s="57">
        <f t="shared" si="0"/>
        <v>0</v>
      </c>
      <c r="H37" s="58">
        <f t="shared" si="1"/>
        <v>9608.7800000000007</v>
      </c>
    </row>
    <row r="38" spans="1:8" ht="22.5" customHeight="1">
      <c r="A38" s="23"/>
      <c r="B38" s="34"/>
      <c r="C38" s="21"/>
      <c r="D38" s="24"/>
      <c r="E38" s="24"/>
      <c r="F38" s="25"/>
      <c r="G38" s="57">
        <f t="shared" si="0"/>
        <v>0</v>
      </c>
      <c r="H38" s="58">
        <f t="shared" si="1"/>
        <v>9608.7800000000007</v>
      </c>
    </row>
    <row r="39" spans="1:8" ht="22.5" customHeight="1">
      <c r="A39" s="23"/>
      <c r="B39" s="34"/>
      <c r="C39" s="21"/>
      <c r="D39" s="24"/>
      <c r="E39" s="24"/>
      <c r="F39" s="25"/>
      <c r="G39" s="57">
        <f t="shared" ref="G39:G70" si="2">IF(A39="Despesas",E39*-1,IF(A39="Receitas",E39,0))</f>
        <v>0</v>
      </c>
      <c r="H39" s="58">
        <f t="shared" ref="H39:H70" si="3">H38+G39</f>
        <v>9608.7800000000007</v>
      </c>
    </row>
    <row r="40" spans="1:8" ht="22.5" customHeight="1">
      <c r="A40" s="23"/>
      <c r="B40" s="34"/>
      <c r="C40" s="21"/>
      <c r="D40" s="24"/>
      <c r="E40" s="24"/>
      <c r="F40" s="25"/>
      <c r="G40" s="57">
        <f t="shared" si="2"/>
        <v>0</v>
      </c>
      <c r="H40" s="58">
        <f t="shared" si="3"/>
        <v>9608.7800000000007</v>
      </c>
    </row>
    <row r="41" spans="1:8" ht="22.5" customHeight="1">
      <c r="A41" s="23"/>
      <c r="B41" s="34"/>
      <c r="C41" s="21"/>
      <c r="D41" s="24"/>
      <c r="E41" s="24"/>
      <c r="F41" s="25"/>
      <c r="G41" s="57">
        <f t="shared" si="2"/>
        <v>0</v>
      </c>
      <c r="H41" s="58">
        <f t="shared" si="3"/>
        <v>9608.7800000000007</v>
      </c>
    </row>
    <row r="42" spans="1:8" ht="22.5" customHeight="1">
      <c r="A42" s="23"/>
      <c r="B42" s="34"/>
      <c r="C42" s="21"/>
      <c r="D42" s="24"/>
      <c r="E42" s="24"/>
      <c r="F42" s="25"/>
      <c r="G42" s="57">
        <f t="shared" si="2"/>
        <v>0</v>
      </c>
      <c r="H42" s="58">
        <f t="shared" si="3"/>
        <v>9608.7800000000007</v>
      </c>
    </row>
    <row r="43" spans="1:8" ht="22.5" customHeight="1">
      <c r="A43" s="23"/>
      <c r="B43" s="34"/>
      <c r="C43" s="21"/>
      <c r="D43" s="24"/>
      <c r="E43" s="24"/>
      <c r="F43" s="25"/>
      <c r="G43" s="57">
        <f t="shared" si="2"/>
        <v>0</v>
      </c>
      <c r="H43" s="58">
        <f t="shared" si="3"/>
        <v>9608.7800000000007</v>
      </c>
    </row>
    <row r="44" spans="1:8" ht="22.5" customHeight="1">
      <c r="A44" s="23"/>
      <c r="B44" s="34"/>
      <c r="C44" s="21"/>
      <c r="D44" s="24"/>
      <c r="E44" s="24"/>
      <c r="F44" s="25"/>
      <c r="G44" s="57">
        <f t="shared" si="2"/>
        <v>0</v>
      </c>
      <c r="H44" s="58">
        <f t="shared" si="3"/>
        <v>9608.7800000000007</v>
      </c>
    </row>
    <row r="45" spans="1:8" ht="22.5" customHeight="1">
      <c r="A45" s="23"/>
      <c r="B45" s="34"/>
      <c r="C45" s="21"/>
      <c r="D45" s="24"/>
      <c r="E45" s="24"/>
      <c r="F45" s="25"/>
      <c r="G45" s="57">
        <f t="shared" si="2"/>
        <v>0</v>
      </c>
      <c r="H45" s="58">
        <f t="shared" si="3"/>
        <v>9608.7800000000007</v>
      </c>
    </row>
    <row r="46" spans="1:8" ht="22.5" customHeight="1">
      <c r="A46" s="23"/>
      <c r="B46" s="34"/>
      <c r="C46" s="21"/>
      <c r="D46" s="24"/>
      <c r="E46" s="24"/>
      <c r="F46" s="25"/>
      <c r="G46" s="57">
        <f t="shared" si="2"/>
        <v>0</v>
      </c>
      <c r="H46" s="58">
        <f t="shared" si="3"/>
        <v>9608.7800000000007</v>
      </c>
    </row>
    <row r="47" spans="1:8" ht="22.5" customHeight="1">
      <c r="A47" s="23"/>
      <c r="B47" s="34"/>
      <c r="C47" s="21"/>
      <c r="D47" s="24"/>
      <c r="E47" s="24"/>
      <c r="F47" s="25"/>
      <c r="G47" s="57">
        <f t="shared" si="2"/>
        <v>0</v>
      </c>
      <c r="H47" s="58">
        <f t="shared" si="3"/>
        <v>9608.7800000000007</v>
      </c>
    </row>
    <row r="48" spans="1:8" ht="22.5" customHeight="1">
      <c r="A48" s="23"/>
      <c r="B48" s="34"/>
      <c r="C48" s="21"/>
      <c r="D48" s="24"/>
      <c r="E48" s="24"/>
      <c r="F48" s="25"/>
      <c r="G48" s="57">
        <f t="shared" si="2"/>
        <v>0</v>
      </c>
      <c r="H48" s="58">
        <f t="shared" si="3"/>
        <v>9608.7800000000007</v>
      </c>
    </row>
    <row r="49" spans="1:8" ht="22.5" customHeight="1">
      <c r="A49" s="23"/>
      <c r="B49" s="34"/>
      <c r="C49" s="21"/>
      <c r="D49" s="24"/>
      <c r="E49" s="24"/>
      <c r="F49" s="25"/>
      <c r="G49" s="57">
        <f t="shared" si="2"/>
        <v>0</v>
      </c>
      <c r="H49" s="58">
        <f t="shared" si="3"/>
        <v>9608.7800000000007</v>
      </c>
    </row>
    <row r="50" spans="1:8" ht="22.5" customHeight="1">
      <c r="A50" s="23"/>
      <c r="B50" s="34"/>
      <c r="C50" s="21"/>
      <c r="D50" s="24"/>
      <c r="E50" s="24"/>
      <c r="F50" s="25"/>
      <c r="G50" s="57">
        <f t="shared" si="2"/>
        <v>0</v>
      </c>
      <c r="H50" s="58">
        <f t="shared" si="3"/>
        <v>9608.7800000000007</v>
      </c>
    </row>
    <row r="51" spans="1:8" ht="22.5" customHeight="1">
      <c r="A51" s="23"/>
      <c r="B51" s="34"/>
      <c r="C51" s="21"/>
      <c r="D51" s="24"/>
      <c r="E51" s="24"/>
      <c r="F51" s="25"/>
      <c r="G51" s="57">
        <f t="shared" si="2"/>
        <v>0</v>
      </c>
      <c r="H51" s="58">
        <f t="shared" si="3"/>
        <v>9608.7800000000007</v>
      </c>
    </row>
    <row r="52" spans="1:8" ht="22.5" customHeight="1">
      <c r="A52" s="23"/>
      <c r="B52" s="34"/>
      <c r="C52" s="21"/>
      <c r="D52" s="24"/>
      <c r="E52" s="24"/>
      <c r="F52" s="25"/>
      <c r="G52" s="57">
        <f t="shared" si="2"/>
        <v>0</v>
      </c>
      <c r="H52" s="58">
        <f t="shared" si="3"/>
        <v>9608.7800000000007</v>
      </c>
    </row>
    <row r="53" spans="1:8" ht="22.5" customHeight="1">
      <c r="A53" s="23"/>
      <c r="B53" s="34"/>
      <c r="C53" s="21"/>
      <c r="D53" s="24"/>
      <c r="E53" s="24"/>
      <c r="F53" s="25"/>
      <c r="G53" s="57">
        <f t="shared" si="2"/>
        <v>0</v>
      </c>
      <c r="H53" s="58">
        <f t="shared" si="3"/>
        <v>9608.7800000000007</v>
      </c>
    </row>
    <row r="54" spans="1:8" ht="22.5" customHeight="1">
      <c r="A54" s="23"/>
      <c r="B54" s="34"/>
      <c r="C54" s="21"/>
      <c r="D54" s="24"/>
      <c r="E54" s="24"/>
      <c r="F54" s="25"/>
      <c r="G54" s="57">
        <f t="shared" si="2"/>
        <v>0</v>
      </c>
      <c r="H54" s="58">
        <f t="shared" si="3"/>
        <v>9608.7800000000007</v>
      </c>
    </row>
    <row r="55" spans="1:8" ht="22.5" customHeight="1">
      <c r="A55" s="23"/>
      <c r="B55" s="34"/>
      <c r="C55" s="21"/>
      <c r="D55" s="24"/>
      <c r="E55" s="24"/>
      <c r="F55" s="25"/>
      <c r="G55" s="57">
        <f t="shared" si="2"/>
        <v>0</v>
      </c>
      <c r="H55" s="58">
        <f t="shared" si="3"/>
        <v>9608.7800000000007</v>
      </c>
    </row>
    <row r="56" spans="1:8" ht="22.5" customHeight="1">
      <c r="A56" s="23"/>
      <c r="B56" s="34"/>
      <c r="C56" s="21"/>
      <c r="D56" s="24"/>
      <c r="E56" s="24"/>
      <c r="F56" s="25"/>
      <c r="G56" s="57">
        <f t="shared" si="2"/>
        <v>0</v>
      </c>
      <c r="H56" s="58">
        <f t="shared" si="3"/>
        <v>9608.7800000000007</v>
      </c>
    </row>
    <row r="57" spans="1:8" ht="22.5" customHeight="1">
      <c r="A57" s="23"/>
      <c r="B57" s="34"/>
      <c r="C57" s="21"/>
      <c r="D57" s="24"/>
      <c r="E57" s="24"/>
      <c r="F57" s="25"/>
      <c r="G57" s="57">
        <f t="shared" si="2"/>
        <v>0</v>
      </c>
      <c r="H57" s="58">
        <f t="shared" si="3"/>
        <v>9608.7800000000007</v>
      </c>
    </row>
    <row r="58" spans="1:8" ht="22.5" customHeight="1">
      <c r="A58" s="23"/>
      <c r="B58" s="34"/>
      <c r="C58" s="21"/>
      <c r="D58" s="24"/>
      <c r="E58" s="24"/>
      <c r="F58" s="25"/>
      <c r="G58" s="57">
        <f t="shared" si="2"/>
        <v>0</v>
      </c>
      <c r="H58" s="58">
        <f t="shared" si="3"/>
        <v>9608.7800000000007</v>
      </c>
    </row>
    <row r="59" spans="1:8" ht="22.5" customHeight="1">
      <c r="A59" s="23"/>
      <c r="B59" s="34"/>
      <c r="C59" s="21"/>
      <c r="D59" s="24"/>
      <c r="E59" s="24"/>
      <c r="F59" s="25"/>
      <c r="G59" s="57">
        <f t="shared" si="2"/>
        <v>0</v>
      </c>
      <c r="H59" s="58">
        <f t="shared" si="3"/>
        <v>9608.7800000000007</v>
      </c>
    </row>
    <row r="60" spans="1:8" ht="22.5" customHeight="1">
      <c r="A60" s="23"/>
      <c r="B60" s="34"/>
      <c r="C60" s="21"/>
      <c r="D60" s="24"/>
      <c r="E60" s="24"/>
      <c r="F60" s="25"/>
      <c r="G60" s="57">
        <f t="shared" si="2"/>
        <v>0</v>
      </c>
      <c r="H60" s="58">
        <f t="shared" si="3"/>
        <v>9608.7800000000007</v>
      </c>
    </row>
    <row r="61" spans="1:8" ht="22.5" customHeight="1">
      <c r="A61" s="23"/>
      <c r="B61" s="34"/>
      <c r="C61" s="21"/>
      <c r="D61" s="24"/>
      <c r="E61" s="24"/>
      <c r="F61" s="25"/>
      <c r="G61" s="57">
        <f t="shared" si="2"/>
        <v>0</v>
      </c>
      <c r="H61" s="58">
        <f t="shared" si="3"/>
        <v>9608.7800000000007</v>
      </c>
    </row>
    <row r="62" spans="1:8" ht="22.5" customHeight="1">
      <c r="A62" s="23"/>
      <c r="B62" s="34"/>
      <c r="C62" s="21"/>
      <c r="D62" s="24"/>
      <c r="E62" s="24"/>
      <c r="F62" s="25"/>
      <c r="G62" s="57">
        <f t="shared" si="2"/>
        <v>0</v>
      </c>
      <c r="H62" s="58">
        <f t="shared" si="3"/>
        <v>9608.7800000000007</v>
      </c>
    </row>
    <row r="63" spans="1:8" ht="22.5" customHeight="1">
      <c r="A63" s="23"/>
      <c r="B63" s="34"/>
      <c r="C63" s="21"/>
      <c r="D63" s="24"/>
      <c r="E63" s="24"/>
      <c r="F63" s="25"/>
      <c r="G63" s="57">
        <f t="shared" si="2"/>
        <v>0</v>
      </c>
      <c r="H63" s="58">
        <f t="shared" si="3"/>
        <v>9608.7800000000007</v>
      </c>
    </row>
    <row r="64" spans="1:8" ht="22.5" customHeight="1">
      <c r="A64" s="23"/>
      <c r="B64" s="34"/>
      <c r="C64" s="21"/>
      <c r="D64" s="24"/>
      <c r="E64" s="24"/>
      <c r="F64" s="25"/>
      <c r="G64" s="57">
        <f t="shared" si="2"/>
        <v>0</v>
      </c>
      <c r="H64" s="58">
        <f t="shared" si="3"/>
        <v>9608.7800000000007</v>
      </c>
    </row>
    <row r="65" spans="1:8" ht="22.5" customHeight="1">
      <c r="A65" s="23"/>
      <c r="B65" s="34"/>
      <c r="C65" s="21"/>
      <c r="D65" s="24"/>
      <c r="E65" s="24"/>
      <c r="F65" s="25"/>
      <c r="G65" s="57">
        <f t="shared" si="2"/>
        <v>0</v>
      </c>
      <c r="H65" s="58">
        <f t="shared" si="3"/>
        <v>9608.7800000000007</v>
      </c>
    </row>
    <row r="66" spans="1:8" ht="22.5" customHeight="1">
      <c r="A66" s="23"/>
      <c r="B66" s="34"/>
      <c r="C66" s="21"/>
      <c r="D66" s="24"/>
      <c r="E66" s="24"/>
      <c r="F66" s="25"/>
      <c r="G66" s="57">
        <f t="shared" si="2"/>
        <v>0</v>
      </c>
      <c r="H66" s="58">
        <f t="shared" si="3"/>
        <v>9608.7800000000007</v>
      </c>
    </row>
    <row r="67" spans="1:8" ht="22.5" customHeight="1">
      <c r="A67" s="23"/>
      <c r="B67" s="34"/>
      <c r="C67" s="21"/>
      <c r="D67" s="24"/>
      <c r="E67" s="24"/>
      <c r="F67" s="25"/>
      <c r="G67" s="57">
        <f t="shared" si="2"/>
        <v>0</v>
      </c>
      <c r="H67" s="58">
        <f t="shared" si="3"/>
        <v>9608.7800000000007</v>
      </c>
    </row>
    <row r="68" spans="1:8" ht="22.5" customHeight="1">
      <c r="A68" s="23"/>
      <c r="B68" s="34"/>
      <c r="C68" s="21"/>
      <c r="D68" s="24"/>
      <c r="E68" s="24"/>
      <c r="F68" s="25"/>
      <c r="G68" s="57">
        <f t="shared" si="2"/>
        <v>0</v>
      </c>
      <c r="H68" s="58">
        <f t="shared" si="3"/>
        <v>9608.7800000000007</v>
      </c>
    </row>
    <row r="69" spans="1:8" ht="22.5" customHeight="1">
      <c r="A69" s="23"/>
      <c r="B69" s="34"/>
      <c r="C69" s="21"/>
      <c r="D69" s="24"/>
      <c r="E69" s="24"/>
      <c r="F69" s="25"/>
      <c r="G69" s="57">
        <f t="shared" si="2"/>
        <v>0</v>
      </c>
      <c r="H69" s="58">
        <f t="shared" si="3"/>
        <v>9608.7800000000007</v>
      </c>
    </row>
    <row r="70" spans="1:8" ht="22.5" customHeight="1">
      <c r="A70" s="23"/>
      <c r="B70" s="34"/>
      <c r="C70" s="21"/>
      <c r="D70" s="24"/>
      <c r="E70" s="24"/>
      <c r="F70" s="25"/>
      <c r="G70" s="57">
        <f t="shared" si="2"/>
        <v>0</v>
      </c>
      <c r="H70" s="58">
        <f t="shared" si="3"/>
        <v>9608.7800000000007</v>
      </c>
    </row>
    <row r="71" spans="1:8" ht="22.5" customHeight="1">
      <c r="A71" s="23"/>
      <c r="B71" s="34"/>
      <c r="C71" s="21"/>
      <c r="D71" s="24"/>
      <c r="E71" s="24"/>
      <c r="F71" s="25"/>
      <c r="G71" s="57">
        <f t="shared" ref="G71:G102" si="4">IF(A71="Despesas",E71*-1,IF(A71="Receitas",E71,0))</f>
        <v>0</v>
      </c>
      <c r="H71" s="58">
        <f t="shared" ref="H71:H102" si="5">H70+G71</f>
        <v>9608.7800000000007</v>
      </c>
    </row>
    <row r="72" spans="1:8" ht="22.5" customHeight="1">
      <c r="A72" s="23"/>
      <c r="B72" s="34"/>
      <c r="C72" s="21"/>
      <c r="D72" s="24"/>
      <c r="E72" s="24"/>
      <c r="F72" s="25"/>
      <c r="G72" s="57">
        <f t="shared" si="4"/>
        <v>0</v>
      </c>
      <c r="H72" s="58">
        <f t="shared" si="5"/>
        <v>9608.7800000000007</v>
      </c>
    </row>
    <row r="73" spans="1:8" ht="22.5" customHeight="1">
      <c r="A73" s="23"/>
      <c r="B73" s="34"/>
      <c r="C73" s="21"/>
      <c r="D73" s="24"/>
      <c r="E73" s="24"/>
      <c r="F73" s="25"/>
      <c r="G73" s="57">
        <f t="shared" si="4"/>
        <v>0</v>
      </c>
      <c r="H73" s="58">
        <f t="shared" si="5"/>
        <v>9608.7800000000007</v>
      </c>
    </row>
    <row r="74" spans="1:8" ht="22.5" customHeight="1">
      <c r="A74" s="23"/>
      <c r="B74" s="34"/>
      <c r="C74" s="21"/>
      <c r="D74" s="24"/>
      <c r="E74" s="24"/>
      <c r="F74" s="25"/>
      <c r="G74" s="57">
        <f t="shared" si="4"/>
        <v>0</v>
      </c>
      <c r="H74" s="58">
        <f t="shared" si="5"/>
        <v>9608.7800000000007</v>
      </c>
    </row>
    <row r="75" spans="1:8" ht="22.5" customHeight="1">
      <c r="A75" s="23"/>
      <c r="B75" s="34"/>
      <c r="C75" s="21"/>
      <c r="D75" s="24"/>
      <c r="E75" s="24"/>
      <c r="F75" s="25"/>
      <c r="G75" s="57">
        <f t="shared" si="4"/>
        <v>0</v>
      </c>
      <c r="H75" s="58">
        <f t="shared" si="5"/>
        <v>9608.7800000000007</v>
      </c>
    </row>
    <row r="76" spans="1:8" ht="22.5" customHeight="1">
      <c r="A76" s="23"/>
      <c r="B76" s="34"/>
      <c r="C76" s="21"/>
      <c r="D76" s="24"/>
      <c r="E76" s="24"/>
      <c r="F76" s="25"/>
      <c r="G76" s="57">
        <f t="shared" si="4"/>
        <v>0</v>
      </c>
      <c r="H76" s="58">
        <f t="shared" si="5"/>
        <v>9608.7800000000007</v>
      </c>
    </row>
    <row r="77" spans="1:8" ht="22.5" customHeight="1">
      <c r="A77" s="23"/>
      <c r="B77" s="34"/>
      <c r="C77" s="21"/>
      <c r="D77" s="24"/>
      <c r="E77" s="24"/>
      <c r="F77" s="25"/>
      <c r="G77" s="57">
        <f t="shared" si="4"/>
        <v>0</v>
      </c>
      <c r="H77" s="58">
        <f t="shared" si="5"/>
        <v>9608.7800000000007</v>
      </c>
    </row>
    <row r="78" spans="1:8" ht="22.5" customHeight="1">
      <c r="A78" s="23"/>
      <c r="B78" s="34"/>
      <c r="C78" s="21"/>
      <c r="D78" s="24"/>
      <c r="E78" s="24"/>
      <c r="F78" s="25"/>
      <c r="G78" s="57">
        <f t="shared" si="4"/>
        <v>0</v>
      </c>
      <c r="H78" s="58">
        <f t="shared" si="5"/>
        <v>9608.7800000000007</v>
      </c>
    </row>
    <row r="79" spans="1:8" ht="22.5" customHeight="1">
      <c r="A79" s="23"/>
      <c r="B79" s="34"/>
      <c r="C79" s="21"/>
      <c r="D79" s="24"/>
      <c r="E79" s="24"/>
      <c r="F79" s="25"/>
      <c r="G79" s="57">
        <f t="shared" si="4"/>
        <v>0</v>
      </c>
      <c r="H79" s="58">
        <f t="shared" si="5"/>
        <v>9608.7800000000007</v>
      </c>
    </row>
    <row r="80" spans="1:8" ht="22.5" customHeight="1">
      <c r="A80" s="23"/>
      <c r="B80" s="34"/>
      <c r="C80" s="21"/>
      <c r="D80" s="24"/>
      <c r="E80" s="24"/>
      <c r="F80" s="25"/>
      <c r="G80" s="57">
        <f t="shared" si="4"/>
        <v>0</v>
      </c>
      <c r="H80" s="58">
        <f t="shared" si="5"/>
        <v>9608.7800000000007</v>
      </c>
    </row>
    <row r="81" spans="1:8" ht="22.5" customHeight="1">
      <c r="A81" s="23"/>
      <c r="B81" s="34"/>
      <c r="C81" s="21"/>
      <c r="D81" s="24"/>
      <c r="E81" s="24"/>
      <c r="F81" s="25"/>
      <c r="G81" s="57">
        <f t="shared" si="4"/>
        <v>0</v>
      </c>
      <c r="H81" s="58">
        <f t="shared" si="5"/>
        <v>9608.7800000000007</v>
      </c>
    </row>
    <row r="82" spans="1:8" ht="22.5" customHeight="1">
      <c r="A82" s="23"/>
      <c r="B82" s="34"/>
      <c r="C82" s="21"/>
      <c r="D82" s="24"/>
      <c r="E82" s="24"/>
      <c r="F82" s="25"/>
      <c r="G82" s="57">
        <f t="shared" si="4"/>
        <v>0</v>
      </c>
      <c r="H82" s="58">
        <f t="shared" si="5"/>
        <v>9608.7800000000007</v>
      </c>
    </row>
    <row r="83" spans="1:8" ht="22.5" customHeight="1">
      <c r="A83" s="23"/>
      <c r="B83" s="34"/>
      <c r="C83" s="21"/>
      <c r="D83" s="24"/>
      <c r="E83" s="24"/>
      <c r="F83" s="25"/>
      <c r="G83" s="57">
        <f t="shared" si="4"/>
        <v>0</v>
      </c>
      <c r="H83" s="58">
        <f t="shared" si="5"/>
        <v>9608.7800000000007</v>
      </c>
    </row>
    <row r="84" spans="1:8" ht="22.5" customHeight="1">
      <c r="A84" s="23"/>
      <c r="B84" s="34"/>
      <c r="C84" s="21"/>
      <c r="D84" s="24"/>
      <c r="E84" s="24"/>
      <c r="F84" s="25"/>
      <c r="G84" s="57">
        <f t="shared" si="4"/>
        <v>0</v>
      </c>
      <c r="H84" s="58">
        <f t="shared" si="5"/>
        <v>9608.7800000000007</v>
      </c>
    </row>
    <row r="85" spans="1:8" ht="22.5" customHeight="1">
      <c r="A85" s="23"/>
      <c r="B85" s="34"/>
      <c r="C85" s="21"/>
      <c r="D85" s="24"/>
      <c r="E85" s="24"/>
      <c r="F85" s="25"/>
      <c r="G85" s="57">
        <f t="shared" si="4"/>
        <v>0</v>
      </c>
      <c r="H85" s="58">
        <f t="shared" si="5"/>
        <v>9608.7800000000007</v>
      </c>
    </row>
    <row r="86" spans="1:8" ht="22.5" customHeight="1">
      <c r="A86" s="23"/>
      <c r="B86" s="34"/>
      <c r="C86" s="21"/>
      <c r="D86" s="24"/>
      <c r="E86" s="24"/>
      <c r="F86" s="25"/>
      <c r="G86" s="57">
        <f t="shared" si="4"/>
        <v>0</v>
      </c>
      <c r="H86" s="58">
        <f t="shared" si="5"/>
        <v>9608.7800000000007</v>
      </c>
    </row>
    <row r="87" spans="1:8" ht="22.5" customHeight="1">
      <c r="A87" s="23"/>
      <c r="B87" s="34"/>
      <c r="C87" s="21"/>
      <c r="D87" s="24"/>
      <c r="E87" s="24"/>
      <c r="F87" s="25"/>
      <c r="G87" s="57">
        <f t="shared" si="4"/>
        <v>0</v>
      </c>
      <c r="H87" s="58">
        <f t="shared" si="5"/>
        <v>9608.7800000000007</v>
      </c>
    </row>
    <row r="88" spans="1:8" ht="22.5" customHeight="1">
      <c r="A88" s="23"/>
      <c r="B88" s="34"/>
      <c r="C88" s="21"/>
      <c r="D88" s="24"/>
      <c r="E88" s="24"/>
      <c r="F88" s="25"/>
      <c r="G88" s="57">
        <f t="shared" si="4"/>
        <v>0</v>
      </c>
      <c r="H88" s="58">
        <f t="shared" si="5"/>
        <v>9608.7800000000007</v>
      </c>
    </row>
    <row r="89" spans="1:8" ht="22.5" customHeight="1">
      <c r="A89" s="23"/>
      <c r="B89" s="34"/>
      <c r="C89" s="21"/>
      <c r="D89" s="24"/>
      <c r="E89" s="24"/>
      <c r="F89" s="25"/>
      <c r="G89" s="57">
        <f t="shared" si="4"/>
        <v>0</v>
      </c>
      <c r="H89" s="58">
        <f t="shared" si="5"/>
        <v>9608.7800000000007</v>
      </c>
    </row>
    <row r="90" spans="1:8" ht="22.5" customHeight="1">
      <c r="A90" s="23"/>
      <c r="B90" s="34"/>
      <c r="C90" s="21"/>
      <c r="D90" s="24"/>
      <c r="E90" s="24"/>
      <c r="F90" s="25"/>
      <c r="G90" s="57">
        <f t="shared" si="4"/>
        <v>0</v>
      </c>
      <c r="H90" s="58">
        <f t="shared" si="5"/>
        <v>9608.7800000000007</v>
      </c>
    </row>
    <row r="91" spans="1:8" ht="22.5" customHeight="1">
      <c r="A91" s="23"/>
      <c r="B91" s="34"/>
      <c r="C91" s="21"/>
      <c r="D91" s="24"/>
      <c r="E91" s="24"/>
      <c r="F91" s="25"/>
      <c r="G91" s="57">
        <f t="shared" si="4"/>
        <v>0</v>
      </c>
      <c r="H91" s="58">
        <f t="shared" si="5"/>
        <v>9608.7800000000007</v>
      </c>
    </row>
    <row r="92" spans="1:8" ht="22.5" customHeight="1">
      <c r="A92" s="23"/>
      <c r="B92" s="34"/>
      <c r="C92" s="21"/>
      <c r="D92" s="24"/>
      <c r="E92" s="24"/>
      <c r="F92" s="25"/>
      <c r="G92" s="57">
        <f t="shared" si="4"/>
        <v>0</v>
      </c>
      <c r="H92" s="58">
        <f t="shared" si="5"/>
        <v>9608.7800000000007</v>
      </c>
    </row>
    <row r="93" spans="1:8" ht="22.5" customHeight="1">
      <c r="A93" s="23"/>
      <c r="B93" s="34"/>
      <c r="C93" s="21"/>
      <c r="D93" s="24"/>
      <c r="E93" s="24"/>
      <c r="F93" s="25"/>
      <c r="G93" s="57">
        <f t="shared" si="4"/>
        <v>0</v>
      </c>
      <c r="H93" s="58">
        <f t="shared" si="5"/>
        <v>9608.7800000000007</v>
      </c>
    </row>
    <row r="94" spans="1:8" ht="22.5" customHeight="1">
      <c r="A94" s="23"/>
      <c r="B94" s="34"/>
      <c r="C94" s="21"/>
      <c r="D94" s="24"/>
      <c r="E94" s="24"/>
      <c r="F94" s="25"/>
      <c r="G94" s="57">
        <f t="shared" si="4"/>
        <v>0</v>
      </c>
      <c r="H94" s="58">
        <f t="shared" si="5"/>
        <v>9608.7800000000007</v>
      </c>
    </row>
    <row r="95" spans="1:8" ht="22.5" customHeight="1">
      <c r="A95" s="23"/>
      <c r="B95" s="34"/>
      <c r="C95" s="21"/>
      <c r="D95" s="24"/>
      <c r="E95" s="24"/>
      <c r="F95" s="25"/>
      <c r="G95" s="57">
        <f t="shared" si="4"/>
        <v>0</v>
      </c>
      <c r="H95" s="58">
        <f t="shared" si="5"/>
        <v>9608.7800000000007</v>
      </c>
    </row>
    <row r="96" spans="1:8" ht="22.5" customHeight="1">
      <c r="A96" s="23"/>
      <c r="B96" s="34"/>
      <c r="C96" s="21"/>
      <c r="D96" s="24"/>
      <c r="E96" s="24"/>
      <c r="F96" s="25"/>
      <c r="G96" s="57">
        <f t="shared" si="4"/>
        <v>0</v>
      </c>
      <c r="H96" s="58">
        <f t="shared" si="5"/>
        <v>9608.7800000000007</v>
      </c>
    </row>
    <row r="97" spans="1:8" ht="22.5" customHeight="1">
      <c r="A97" s="23"/>
      <c r="B97" s="34"/>
      <c r="C97" s="21"/>
      <c r="D97" s="24"/>
      <c r="E97" s="24"/>
      <c r="F97" s="25"/>
      <c r="G97" s="57">
        <f t="shared" si="4"/>
        <v>0</v>
      </c>
      <c r="H97" s="58">
        <f t="shared" si="5"/>
        <v>9608.7800000000007</v>
      </c>
    </row>
    <row r="98" spans="1:8" ht="22.5" customHeight="1">
      <c r="A98" s="23"/>
      <c r="B98" s="34"/>
      <c r="C98" s="21"/>
      <c r="D98" s="24"/>
      <c r="E98" s="24"/>
      <c r="F98" s="25"/>
      <c r="G98" s="57">
        <f t="shared" si="4"/>
        <v>0</v>
      </c>
      <c r="H98" s="58">
        <f t="shared" si="5"/>
        <v>9608.7800000000007</v>
      </c>
    </row>
    <row r="99" spans="1:8" ht="22.5" customHeight="1">
      <c r="A99" s="23"/>
      <c r="B99" s="34"/>
      <c r="C99" s="21"/>
      <c r="D99" s="24"/>
      <c r="E99" s="24"/>
      <c r="F99" s="25"/>
      <c r="G99" s="57">
        <f t="shared" si="4"/>
        <v>0</v>
      </c>
      <c r="H99" s="58">
        <f t="shared" si="5"/>
        <v>9608.7800000000007</v>
      </c>
    </row>
    <row r="100" spans="1:8" ht="22.5" customHeight="1">
      <c r="A100" s="23"/>
      <c r="B100" s="34"/>
      <c r="C100" s="21"/>
      <c r="D100" s="24"/>
      <c r="E100" s="24"/>
      <c r="F100" s="25"/>
      <c r="G100" s="57">
        <f t="shared" si="4"/>
        <v>0</v>
      </c>
      <c r="H100" s="58">
        <f t="shared" si="5"/>
        <v>9608.7800000000007</v>
      </c>
    </row>
    <row r="101" spans="1:8" ht="22.5" customHeight="1">
      <c r="A101" s="23"/>
      <c r="B101" s="34"/>
      <c r="C101" s="21"/>
      <c r="D101" s="24"/>
      <c r="E101" s="24"/>
      <c r="F101" s="25"/>
      <c r="G101" s="57">
        <f t="shared" si="4"/>
        <v>0</v>
      </c>
      <c r="H101" s="58">
        <f t="shared" si="5"/>
        <v>9608.7800000000007</v>
      </c>
    </row>
    <row r="102" spans="1:8" ht="22.5" customHeight="1">
      <c r="A102" s="23"/>
      <c r="B102" s="34"/>
      <c r="C102" s="21"/>
      <c r="D102" s="24"/>
      <c r="E102" s="24"/>
      <c r="F102" s="25"/>
      <c r="G102" s="57">
        <f t="shared" si="4"/>
        <v>0</v>
      </c>
      <c r="H102" s="58">
        <f t="shared" si="5"/>
        <v>9608.7800000000007</v>
      </c>
    </row>
    <row r="103" spans="1:8" ht="22.5" customHeight="1">
      <c r="A103" s="23"/>
      <c r="B103" s="34"/>
      <c r="C103" s="21"/>
      <c r="D103" s="24"/>
      <c r="E103" s="24"/>
      <c r="F103" s="25"/>
      <c r="G103" s="57">
        <f t="shared" ref="G103:G134" si="6">IF(A103="Despesas",E103*-1,IF(A103="Receitas",E103,0))</f>
        <v>0</v>
      </c>
      <c r="H103" s="58">
        <f t="shared" ref="H103:H134" si="7">H102+G103</f>
        <v>9608.7800000000007</v>
      </c>
    </row>
    <row r="104" spans="1:8" ht="22.5" customHeight="1">
      <c r="A104" s="23"/>
      <c r="B104" s="34"/>
      <c r="C104" s="21"/>
      <c r="D104" s="24"/>
      <c r="E104" s="24"/>
      <c r="F104" s="25"/>
      <c r="G104" s="57">
        <f t="shared" si="6"/>
        <v>0</v>
      </c>
      <c r="H104" s="58">
        <f t="shared" si="7"/>
        <v>9608.7800000000007</v>
      </c>
    </row>
    <row r="105" spans="1:8" ht="22.5" customHeight="1">
      <c r="A105" s="23"/>
      <c r="B105" s="34"/>
      <c r="C105" s="21"/>
      <c r="D105" s="24"/>
      <c r="E105" s="24"/>
      <c r="F105" s="25"/>
      <c r="G105" s="57">
        <f t="shared" si="6"/>
        <v>0</v>
      </c>
      <c r="H105" s="58">
        <f t="shared" si="7"/>
        <v>9608.7800000000007</v>
      </c>
    </row>
    <row r="106" spans="1:8" ht="22.5" customHeight="1">
      <c r="A106" s="23"/>
      <c r="B106" s="34"/>
      <c r="C106" s="21"/>
      <c r="D106" s="24"/>
      <c r="E106" s="24"/>
      <c r="F106" s="25"/>
      <c r="G106" s="57">
        <f t="shared" si="6"/>
        <v>0</v>
      </c>
      <c r="H106" s="58">
        <f t="shared" si="7"/>
        <v>9608.7800000000007</v>
      </c>
    </row>
    <row r="107" spans="1:8" ht="22.5" customHeight="1">
      <c r="A107" s="23"/>
      <c r="B107" s="34"/>
      <c r="C107" s="21"/>
      <c r="D107" s="24"/>
      <c r="E107" s="24"/>
      <c r="F107" s="25"/>
      <c r="G107" s="57">
        <f t="shared" si="6"/>
        <v>0</v>
      </c>
      <c r="H107" s="58">
        <f t="shared" si="7"/>
        <v>9608.7800000000007</v>
      </c>
    </row>
    <row r="108" spans="1:8" ht="22.5" customHeight="1">
      <c r="A108" s="23"/>
      <c r="B108" s="34"/>
      <c r="C108" s="21"/>
      <c r="D108" s="24"/>
      <c r="E108" s="24"/>
      <c r="F108" s="25"/>
      <c r="G108" s="57">
        <f t="shared" si="6"/>
        <v>0</v>
      </c>
      <c r="H108" s="58">
        <f t="shared" si="7"/>
        <v>9608.7800000000007</v>
      </c>
    </row>
    <row r="109" spans="1:8" ht="22.5" customHeight="1">
      <c r="A109" s="23"/>
      <c r="B109" s="34"/>
      <c r="C109" s="21"/>
      <c r="D109" s="24"/>
      <c r="E109" s="24"/>
      <c r="F109" s="25"/>
      <c r="G109" s="57">
        <f t="shared" si="6"/>
        <v>0</v>
      </c>
      <c r="H109" s="58">
        <f t="shared" si="7"/>
        <v>9608.7800000000007</v>
      </c>
    </row>
    <row r="110" spans="1:8" ht="22.5" customHeight="1">
      <c r="A110" s="23"/>
      <c r="B110" s="34"/>
      <c r="C110" s="21"/>
      <c r="D110" s="24"/>
      <c r="E110" s="24"/>
      <c r="F110" s="25"/>
      <c r="G110" s="57">
        <f t="shared" si="6"/>
        <v>0</v>
      </c>
      <c r="H110" s="58">
        <f t="shared" si="7"/>
        <v>9608.7800000000007</v>
      </c>
    </row>
    <row r="111" spans="1:8" ht="22.5" customHeight="1">
      <c r="A111" s="23"/>
      <c r="B111" s="34"/>
      <c r="C111" s="21"/>
      <c r="D111" s="24"/>
      <c r="E111" s="24"/>
      <c r="F111" s="25"/>
      <c r="G111" s="57">
        <f t="shared" si="6"/>
        <v>0</v>
      </c>
      <c r="H111" s="58">
        <f t="shared" si="7"/>
        <v>9608.7800000000007</v>
      </c>
    </row>
    <row r="112" spans="1:8" ht="22.5" customHeight="1">
      <c r="A112" s="23"/>
      <c r="B112" s="34"/>
      <c r="C112" s="21"/>
      <c r="D112" s="24"/>
      <c r="E112" s="24"/>
      <c r="F112" s="25"/>
      <c r="G112" s="57">
        <f t="shared" si="6"/>
        <v>0</v>
      </c>
      <c r="H112" s="58">
        <f t="shared" si="7"/>
        <v>9608.7800000000007</v>
      </c>
    </row>
    <row r="113" spans="1:8" ht="22.5" customHeight="1">
      <c r="A113" s="23"/>
      <c r="B113" s="34"/>
      <c r="C113" s="21"/>
      <c r="D113" s="24"/>
      <c r="E113" s="24"/>
      <c r="F113" s="25"/>
      <c r="G113" s="57">
        <f t="shared" si="6"/>
        <v>0</v>
      </c>
      <c r="H113" s="58">
        <f t="shared" si="7"/>
        <v>9608.7800000000007</v>
      </c>
    </row>
    <row r="114" spans="1:8" ht="22.5" customHeight="1">
      <c r="A114" s="23"/>
      <c r="B114" s="34"/>
      <c r="C114" s="21"/>
      <c r="D114" s="24"/>
      <c r="E114" s="24"/>
      <c r="F114" s="25"/>
      <c r="G114" s="57">
        <f t="shared" si="6"/>
        <v>0</v>
      </c>
      <c r="H114" s="58">
        <f t="shared" si="7"/>
        <v>9608.7800000000007</v>
      </c>
    </row>
    <row r="115" spans="1:8" ht="22.5" customHeight="1">
      <c r="A115" s="23"/>
      <c r="B115" s="34"/>
      <c r="C115" s="21"/>
      <c r="D115" s="24"/>
      <c r="E115" s="24"/>
      <c r="F115" s="25"/>
      <c r="G115" s="57">
        <f t="shared" si="6"/>
        <v>0</v>
      </c>
      <c r="H115" s="58">
        <f t="shared" si="7"/>
        <v>9608.7800000000007</v>
      </c>
    </row>
    <row r="116" spans="1:8" ht="22.5" customHeight="1">
      <c r="A116" s="23"/>
      <c r="B116" s="34"/>
      <c r="C116" s="21"/>
      <c r="D116" s="24"/>
      <c r="E116" s="24"/>
      <c r="F116" s="25"/>
      <c r="G116" s="57">
        <f t="shared" si="6"/>
        <v>0</v>
      </c>
      <c r="H116" s="58">
        <f t="shared" si="7"/>
        <v>9608.7800000000007</v>
      </c>
    </row>
    <row r="117" spans="1:8" ht="22.5" customHeight="1">
      <c r="A117" s="23"/>
      <c r="B117" s="34"/>
      <c r="C117" s="21"/>
      <c r="D117" s="24"/>
      <c r="E117" s="24"/>
      <c r="F117" s="25"/>
      <c r="G117" s="57">
        <f t="shared" si="6"/>
        <v>0</v>
      </c>
      <c r="H117" s="58">
        <f t="shared" si="7"/>
        <v>9608.7800000000007</v>
      </c>
    </row>
    <row r="118" spans="1:8" ht="22.5" customHeight="1">
      <c r="A118" s="23"/>
      <c r="B118" s="34"/>
      <c r="C118" s="21"/>
      <c r="D118" s="24"/>
      <c r="E118" s="24"/>
      <c r="F118" s="25"/>
      <c r="G118" s="57">
        <f t="shared" si="6"/>
        <v>0</v>
      </c>
      <c r="H118" s="58">
        <f t="shared" si="7"/>
        <v>9608.7800000000007</v>
      </c>
    </row>
    <row r="119" spans="1:8" ht="22.5" customHeight="1">
      <c r="A119" s="23"/>
      <c r="B119" s="34"/>
      <c r="C119" s="21"/>
      <c r="D119" s="24"/>
      <c r="E119" s="24"/>
      <c r="F119" s="25"/>
      <c r="G119" s="57">
        <f t="shared" si="6"/>
        <v>0</v>
      </c>
      <c r="H119" s="58">
        <f t="shared" si="7"/>
        <v>9608.7800000000007</v>
      </c>
    </row>
    <row r="120" spans="1:8" ht="22.5" customHeight="1">
      <c r="A120" s="23"/>
      <c r="B120" s="34"/>
      <c r="C120" s="21"/>
      <c r="D120" s="24"/>
      <c r="E120" s="24"/>
      <c r="F120" s="25"/>
      <c r="G120" s="57">
        <f t="shared" si="6"/>
        <v>0</v>
      </c>
      <c r="H120" s="58">
        <f t="shared" si="7"/>
        <v>9608.7800000000007</v>
      </c>
    </row>
    <row r="121" spans="1:8" ht="22.5" customHeight="1">
      <c r="A121" s="23"/>
      <c r="B121" s="34"/>
      <c r="C121" s="21"/>
      <c r="D121" s="24"/>
      <c r="E121" s="24"/>
      <c r="F121" s="25"/>
      <c r="G121" s="57">
        <f t="shared" si="6"/>
        <v>0</v>
      </c>
      <c r="H121" s="58">
        <f t="shared" si="7"/>
        <v>9608.7800000000007</v>
      </c>
    </row>
    <row r="122" spans="1:8" ht="22.5" customHeight="1">
      <c r="A122" s="23"/>
      <c r="B122" s="34"/>
      <c r="C122" s="21"/>
      <c r="D122" s="24"/>
      <c r="E122" s="24"/>
      <c r="F122" s="25"/>
      <c r="G122" s="57">
        <f t="shared" si="6"/>
        <v>0</v>
      </c>
      <c r="H122" s="58">
        <f t="shared" si="7"/>
        <v>9608.7800000000007</v>
      </c>
    </row>
    <row r="123" spans="1:8" ht="22.5" customHeight="1">
      <c r="A123" s="23"/>
      <c r="B123" s="34"/>
      <c r="C123" s="21"/>
      <c r="D123" s="24"/>
      <c r="E123" s="24"/>
      <c r="F123" s="25"/>
      <c r="G123" s="57">
        <f t="shared" si="6"/>
        <v>0</v>
      </c>
      <c r="H123" s="58">
        <f t="shared" si="7"/>
        <v>9608.7800000000007</v>
      </c>
    </row>
    <row r="124" spans="1:8" ht="22.5" customHeight="1">
      <c r="A124" s="23"/>
      <c r="B124" s="34"/>
      <c r="C124" s="21"/>
      <c r="D124" s="24"/>
      <c r="E124" s="24"/>
      <c r="F124" s="25"/>
      <c r="G124" s="57">
        <f t="shared" si="6"/>
        <v>0</v>
      </c>
      <c r="H124" s="58">
        <f t="shared" si="7"/>
        <v>9608.7800000000007</v>
      </c>
    </row>
    <row r="125" spans="1:8" ht="22.5" customHeight="1">
      <c r="A125" s="23"/>
      <c r="B125" s="34"/>
      <c r="C125" s="21"/>
      <c r="D125" s="24"/>
      <c r="E125" s="24"/>
      <c r="F125" s="25"/>
      <c r="G125" s="57">
        <f t="shared" si="6"/>
        <v>0</v>
      </c>
      <c r="H125" s="58">
        <f t="shared" si="7"/>
        <v>9608.7800000000007</v>
      </c>
    </row>
    <row r="126" spans="1:8" ht="22.5" customHeight="1">
      <c r="A126" s="23"/>
      <c r="B126" s="34"/>
      <c r="C126" s="21"/>
      <c r="D126" s="24"/>
      <c r="E126" s="24"/>
      <c r="F126" s="25"/>
      <c r="G126" s="57">
        <f t="shared" si="6"/>
        <v>0</v>
      </c>
      <c r="H126" s="58">
        <f t="shared" si="7"/>
        <v>9608.7800000000007</v>
      </c>
    </row>
    <row r="127" spans="1:8" ht="22.5" customHeight="1">
      <c r="A127" s="23"/>
      <c r="B127" s="34"/>
      <c r="C127" s="21"/>
      <c r="D127" s="24"/>
      <c r="E127" s="24"/>
      <c r="F127" s="25"/>
      <c r="G127" s="57">
        <f t="shared" si="6"/>
        <v>0</v>
      </c>
      <c r="H127" s="58">
        <f t="shared" si="7"/>
        <v>9608.7800000000007</v>
      </c>
    </row>
    <row r="128" spans="1:8" ht="22.5" customHeight="1">
      <c r="A128" s="23"/>
      <c r="B128" s="34"/>
      <c r="C128" s="21"/>
      <c r="D128" s="24"/>
      <c r="E128" s="24"/>
      <c r="F128" s="25"/>
      <c r="G128" s="57">
        <f t="shared" si="6"/>
        <v>0</v>
      </c>
      <c r="H128" s="58">
        <f t="shared" si="7"/>
        <v>9608.7800000000007</v>
      </c>
    </row>
    <row r="129" spans="1:8" ht="22.5" customHeight="1">
      <c r="A129" s="23"/>
      <c r="B129" s="34"/>
      <c r="C129" s="21"/>
      <c r="D129" s="24"/>
      <c r="E129" s="24"/>
      <c r="F129" s="25"/>
      <c r="G129" s="57">
        <f t="shared" si="6"/>
        <v>0</v>
      </c>
      <c r="H129" s="58">
        <f t="shared" si="7"/>
        <v>9608.7800000000007</v>
      </c>
    </row>
    <row r="130" spans="1:8" ht="22.5" customHeight="1">
      <c r="A130" s="23"/>
      <c r="B130" s="34"/>
      <c r="C130" s="21"/>
      <c r="D130" s="24"/>
      <c r="E130" s="24"/>
      <c r="F130" s="25"/>
      <c r="G130" s="57">
        <f t="shared" si="6"/>
        <v>0</v>
      </c>
      <c r="H130" s="58">
        <f t="shared" si="7"/>
        <v>9608.7800000000007</v>
      </c>
    </row>
    <row r="131" spans="1:8" ht="22.5" customHeight="1">
      <c r="A131" s="23"/>
      <c r="B131" s="34"/>
      <c r="C131" s="21"/>
      <c r="D131" s="24"/>
      <c r="E131" s="24"/>
      <c r="F131" s="25"/>
      <c r="G131" s="57">
        <f t="shared" si="6"/>
        <v>0</v>
      </c>
      <c r="H131" s="58">
        <f t="shared" si="7"/>
        <v>9608.7800000000007</v>
      </c>
    </row>
    <row r="132" spans="1:8" ht="22.5" customHeight="1">
      <c r="A132" s="23"/>
      <c r="B132" s="34"/>
      <c r="C132" s="21"/>
      <c r="D132" s="24"/>
      <c r="E132" s="24"/>
      <c r="F132" s="25"/>
      <c r="G132" s="57">
        <f t="shared" si="6"/>
        <v>0</v>
      </c>
      <c r="H132" s="58">
        <f t="shared" si="7"/>
        <v>9608.7800000000007</v>
      </c>
    </row>
    <row r="133" spans="1:8" ht="22.5" customHeight="1">
      <c r="A133" s="23"/>
      <c r="B133" s="34"/>
      <c r="C133" s="21"/>
      <c r="D133" s="24"/>
      <c r="E133" s="24"/>
      <c r="F133" s="25"/>
      <c r="G133" s="57">
        <f t="shared" si="6"/>
        <v>0</v>
      </c>
      <c r="H133" s="58">
        <f t="shared" si="7"/>
        <v>9608.7800000000007</v>
      </c>
    </row>
    <row r="134" spans="1:8" ht="22.5" customHeight="1">
      <c r="A134" s="23"/>
      <c r="B134" s="34"/>
      <c r="C134" s="21"/>
      <c r="D134" s="24"/>
      <c r="E134" s="24"/>
      <c r="F134" s="25"/>
      <c r="G134" s="57">
        <f t="shared" si="6"/>
        <v>0</v>
      </c>
      <c r="H134" s="58">
        <f t="shared" si="7"/>
        <v>9608.7800000000007</v>
      </c>
    </row>
    <row r="135" spans="1:8" ht="22.5" customHeight="1">
      <c r="A135" s="23"/>
      <c r="B135" s="34"/>
      <c r="C135" s="21"/>
      <c r="D135" s="24"/>
      <c r="E135" s="24"/>
      <c r="F135" s="25"/>
      <c r="G135" s="57">
        <f t="shared" ref="G135:G166" si="8">IF(A135="Despesas",E135*-1,IF(A135="Receitas",E135,0))</f>
        <v>0</v>
      </c>
      <c r="H135" s="58">
        <f t="shared" ref="H135:H166" si="9">H134+G135</f>
        <v>9608.7800000000007</v>
      </c>
    </row>
    <row r="136" spans="1:8" ht="22.5" customHeight="1">
      <c r="A136" s="23"/>
      <c r="B136" s="34"/>
      <c r="C136" s="21"/>
      <c r="D136" s="24"/>
      <c r="E136" s="24"/>
      <c r="F136" s="25"/>
      <c r="G136" s="57">
        <f t="shared" si="8"/>
        <v>0</v>
      </c>
      <c r="H136" s="58">
        <f t="shared" si="9"/>
        <v>9608.7800000000007</v>
      </c>
    </row>
    <row r="137" spans="1:8" ht="22.5" customHeight="1">
      <c r="A137" s="23"/>
      <c r="B137" s="34"/>
      <c r="C137" s="21"/>
      <c r="D137" s="24"/>
      <c r="E137" s="24"/>
      <c r="F137" s="25"/>
      <c r="G137" s="57">
        <f t="shared" si="8"/>
        <v>0</v>
      </c>
      <c r="H137" s="58">
        <f t="shared" si="9"/>
        <v>9608.7800000000007</v>
      </c>
    </row>
    <row r="138" spans="1:8" ht="22.5" customHeight="1">
      <c r="A138" s="23"/>
      <c r="B138" s="34"/>
      <c r="C138" s="21"/>
      <c r="D138" s="24"/>
      <c r="E138" s="24"/>
      <c r="F138" s="25"/>
      <c r="G138" s="57">
        <f t="shared" si="8"/>
        <v>0</v>
      </c>
      <c r="H138" s="58">
        <f t="shared" si="9"/>
        <v>9608.7800000000007</v>
      </c>
    </row>
    <row r="139" spans="1:8" ht="22.5" customHeight="1">
      <c r="A139" s="23"/>
      <c r="B139" s="34"/>
      <c r="C139" s="21"/>
      <c r="D139" s="24"/>
      <c r="E139" s="24"/>
      <c r="F139" s="25"/>
      <c r="G139" s="57">
        <f t="shared" si="8"/>
        <v>0</v>
      </c>
      <c r="H139" s="58">
        <f t="shared" si="9"/>
        <v>9608.7800000000007</v>
      </c>
    </row>
    <row r="140" spans="1:8" ht="22.5" customHeight="1">
      <c r="A140" s="23"/>
      <c r="B140" s="34"/>
      <c r="C140" s="21"/>
      <c r="D140" s="24"/>
      <c r="E140" s="24"/>
      <c r="F140" s="25"/>
      <c r="G140" s="57">
        <f t="shared" si="8"/>
        <v>0</v>
      </c>
      <c r="H140" s="58">
        <f t="shared" si="9"/>
        <v>9608.7800000000007</v>
      </c>
    </row>
    <row r="141" spans="1:8" ht="22.5" customHeight="1">
      <c r="A141" s="23"/>
      <c r="B141" s="34"/>
      <c r="C141" s="21"/>
      <c r="D141" s="24"/>
      <c r="E141" s="24"/>
      <c r="F141" s="25"/>
      <c r="G141" s="57">
        <f t="shared" si="8"/>
        <v>0</v>
      </c>
      <c r="H141" s="58">
        <f t="shared" si="9"/>
        <v>9608.7800000000007</v>
      </c>
    </row>
    <row r="142" spans="1:8" ht="22.5" customHeight="1">
      <c r="A142" s="23"/>
      <c r="B142" s="34"/>
      <c r="C142" s="21"/>
      <c r="D142" s="24"/>
      <c r="E142" s="24"/>
      <c r="F142" s="25"/>
      <c r="G142" s="57">
        <f t="shared" si="8"/>
        <v>0</v>
      </c>
      <c r="H142" s="58">
        <f t="shared" si="9"/>
        <v>9608.7800000000007</v>
      </c>
    </row>
    <row r="143" spans="1:8" ht="22.5" customHeight="1">
      <c r="A143" s="23"/>
      <c r="B143" s="34"/>
      <c r="C143" s="21"/>
      <c r="D143" s="24"/>
      <c r="E143" s="24"/>
      <c r="F143" s="25"/>
      <c r="G143" s="57">
        <f t="shared" si="8"/>
        <v>0</v>
      </c>
      <c r="H143" s="58">
        <f t="shared" ref="H143:H206" si="10">H142+G143</f>
        <v>9608.7800000000007</v>
      </c>
    </row>
    <row r="144" spans="1:8" ht="22.5" customHeight="1">
      <c r="A144" s="23"/>
      <c r="B144" s="34"/>
      <c r="C144" s="21"/>
      <c r="D144" s="24"/>
      <c r="E144" s="24"/>
      <c r="F144" s="25"/>
      <c r="G144" s="57">
        <f t="shared" si="8"/>
        <v>0</v>
      </c>
      <c r="H144" s="58">
        <f t="shared" si="10"/>
        <v>9608.7800000000007</v>
      </c>
    </row>
    <row r="145" spans="1:8" ht="22.5" customHeight="1">
      <c r="A145" s="23"/>
      <c r="B145" s="34"/>
      <c r="C145" s="21"/>
      <c r="D145" s="24"/>
      <c r="E145" s="24"/>
      <c r="F145" s="25"/>
      <c r="G145" s="57">
        <f t="shared" si="8"/>
        <v>0</v>
      </c>
      <c r="H145" s="58">
        <f t="shared" si="10"/>
        <v>9608.7800000000007</v>
      </c>
    </row>
    <row r="146" spans="1:8" ht="22.5" customHeight="1">
      <c r="A146" s="23"/>
      <c r="B146" s="34"/>
      <c r="C146" s="21"/>
      <c r="D146" s="24"/>
      <c r="E146" s="24"/>
      <c r="F146" s="25"/>
      <c r="G146" s="57">
        <f t="shared" si="8"/>
        <v>0</v>
      </c>
      <c r="H146" s="58">
        <f t="shared" si="10"/>
        <v>9608.7800000000007</v>
      </c>
    </row>
    <row r="147" spans="1:8" ht="22.5" customHeight="1">
      <c r="A147" s="23"/>
      <c r="B147" s="34"/>
      <c r="C147" s="21"/>
      <c r="D147" s="24"/>
      <c r="E147" s="24"/>
      <c r="F147" s="25"/>
      <c r="G147" s="57">
        <f t="shared" si="8"/>
        <v>0</v>
      </c>
      <c r="H147" s="58">
        <f t="shared" si="10"/>
        <v>9608.7800000000007</v>
      </c>
    </row>
    <row r="148" spans="1:8" ht="22.5" customHeight="1">
      <c r="A148" s="23"/>
      <c r="B148" s="34"/>
      <c r="C148" s="21"/>
      <c r="D148" s="24"/>
      <c r="E148" s="24"/>
      <c r="F148" s="25"/>
      <c r="G148" s="57">
        <f t="shared" si="8"/>
        <v>0</v>
      </c>
      <c r="H148" s="58">
        <f t="shared" si="10"/>
        <v>9608.7800000000007</v>
      </c>
    </row>
    <row r="149" spans="1:8" ht="22.5" customHeight="1">
      <c r="A149" s="23"/>
      <c r="B149" s="34"/>
      <c r="C149" s="21"/>
      <c r="D149" s="24"/>
      <c r="E149" s="24"/>
      <c r="F149" s="25"/>
      <c r="G149" s="57">
        <f t="shared" si="8"/>
        <v>0</v>
      </c>
      <c r="H149" s="58">
        <f t="shared" si="10"/>
        <v>9608.7800000000007</v>
      </c>
    </row>
    <row r="150" spans="1:8" ht="22.5" customHeight="1">
      <c r="A150" s="23"/>
      <c r="B150" s="34"/>
      <c r="C150" s="21"/>
      <c r="D150" s="24"/>
      <c r="E150" s="24"/>
      <c r="F150" s="25"/>
      <c r="G150" s="57">
        <f t="shared" si="8"/>
        <v>0</v>
      </c>
      <c r="H150" s="58">
        <f t="shared" si="10"/>
        <v>9608.7800000000007</v>
      </c>
    </row>
    <row r="151" spans="1:8" ht="22.5" customHeight="1">
      <c r="A151" s="23"/>
      <c r="B151" s="34"/>
      <c r="C151" s="21"/>
      <c r="D151" s="24"/>
      <c r="E151" s="24"/>
      <c r="F151" s="25"/>
      <c r="G151" s="57">
        <f t="shared" si="8"/>
        <v>0</v>
      </c>
      <c r="H151" s="58">
        <f t="shared" si="10"/>
        <v>9608.7800000000007</v>
      </c>
    </row>
    <row r="152" spans="1:8" ht="22.5" customHeight="1">
      <c r="A152" s="23"/>
      <c r="B152" s="34"/>
      <c r="C152" s="21"/>
      <c r="D152" s="24"/>
      <c r="E152" s="24"/>
      <c r="F152" s="25"/>
      <c r="G152" s="57">
        <f t="shared" si="8"/>
        <v>0</v>
      </c>
      <c r="H152" s="58">
        <f t="shared" si="10"/>
        <v>9608.7800000000007</v>
      </c>
    </row>
    <row r="153" spans="1:8" ht="22.5" customHeight="1">
      <c r="A153" s="23"/>
      <c r="B153" s="34"/>
      <c r="C153" s="21"/>
      <c r="D153" s="24"/>
      <c r="E153" s="24"/>
      <c r="F153" s="25"/>
      <c r="G153" s="57">
        <f t="shared" si="8"/>
        <v>0</v>
      </c>
      <c r="H153" s="58">
        <f t="shared" si="10"/>
        <v>9608.7800000000007</v>
      </c>
    </row>
    <row r="154" spans="1:8" ht="22.5" customHeight="1">
      <c r="A154" s="23"/>
      <c r="B154" s="34"/>
      <c r="C154" s="21"/>
      <c r="D154" s="24"/>
      <c r="E154" s="24"/>
      <c r="F154" s="25"/>
      <c r="G154" s="57">
        <f t="shared" si="8"/>
        <v>0</v>
      </c>
      <c r="H154" s="58">
        <f t="shared" si="10"/>
        <v>9608.7800000000007</v>
      </c>
    </row>
    <row r="155" spans="1:8" ht="22.5" customHeight="1">
      <c r="A155" s="23"/>
      <c r="B155" s="34"/>
      <c r="C155" s="21"/>
      <c r="D155" s="24"/>
      <c r="E155" s="24"/>
      <c r="F155" s="25"/>
      <c r="G155" s="57">
        <f t="shared" si="8"/>
        <v>0</v>
      </c>
      <c r="H155" s="58">
        <f t="shared" si="10"/>
        <v>9608.7800000000007</v>
      </c>
    </row>
    <row r="156" spans="1:8" ht="22.5" customHeight="1">
      <c r="A156" s="23"/>
      <c r="B156" s="34"/>
      <c r="C156" s="21"/>
      <c r="D156" s="24"/>
      <c r="E156" s="24"/>
      <c r="F156" s="25"/>
      <c r="G156" s="57">
        <f t="shared" si="8"/>
        <v>0</v>
      </c>
      <c r="H156" s="58">
        <f t="shared" si="10"/>
        <v>9608.7800000000007</v>
      </c>
    </row>
    <row r="157" spans="1:8" ht="22.5" customHeight="1">
      <c r="A157" s="23"/>
      <c r="B157" s="34"/>
      <c r="C157" s="21"/>
      <c r="D157" s="24"/>
      <c r="E157" s="24"/>
      <c r="F157" s="25"/>
      <c r="G157" s="57">
        <f t="shared" si="8"/>
        <v>0</v>
      </c>
      <c r="H157" s="58">
        <f t="shared" si="10"/>
        <v>9608.7800000000007</v>
      </c>
    </row>
    <row r="158" spans="1:8" ht="22.5" customHeight="1">
      <c r="A158" s="23"/>
      <c r="B158" s="34"/>
      <c r="C158" s="21"/>
      <c r="D158" s="24"/>
      <c r="E158" s="24"/>
      <c r="F158" s="25"/>
      <c r="G158" s="57">
        <f t="shared" si="8"/>
        <v>0</v>
      </c>
      <c r="H158" s="58">
        <f t="shared" si="10"/>
        <v>9608.7800000000007</v>
      </c>
    </row>
    <row r="159" spans="1:8" ht="22.5" customHeight="1">
      <c r="A159" s="23"/>
      <c r="B159" s="34"/>
      <c r="C159" s="21"/>
      <c r="D159" s="24"/>
      <c r="E159" s="24"/>
      <c r="F159" s="25"/>
      <c r="G159" s="57">
        <f t="shared" si="8"/>
        <v>0</v>
      </c>
      <c r="H159" s="58">
        <f t="shared" si="10"/>
        <v>9608.7800000000007</v>
      </c>
    </row>
    <row r="160" spans="1:8" ht="22.5" customHeight="1">
      <c r="A160" s="23"/>
      <c r="B160" s="34"/>
      <c r="C160" s="21"/>
      <c r="D160" s="24"/>
      <c r="E160" s="24"/>
      <c r="F160" s="25"/>
      <c r="G160" s="57">
        <f t="shared" si="8"/>
        <v>0</v>
      </c>
      <c r="H160" s="58">
        <f t="shared" si="10"/>
        <v>9608.7800000000007</v>
      </c>
    </row>
    <row r="161" spans="1:8" ht="22.5" customHeight="1">
      <c r="A161" s="23"/>
      <c r="B161" s="34"/>
      <c r="C161" s="21"/>
      <c r="D161" s="24"/>
      <c r="E161" s="24"/>
      <c r="F161" s="25"/>
      <c r="G161" s="57">
        <f t="shared" si="8"/>
        <v>0</v>
      </c>
      <c r="H161" s="58">
        <f t="shared" si="10"/>
        <v>9608.7800000000007</v>
      </c>
    </row>
    <row r="162" spans="1:8" ht="22.5" customHeight="1">
      <c r="A162" s="23"/>
      <c r="B162" s="34"/>
      <c r="C162" s="21"/>
      <c r="D162" s="24"/>
      <c r="E162" s="24"/>
      <c r="F162" s="25"/>
      <c r="G162" s="57">
        <f t="shared" si="8"/>
        <v>0</v>
      </c>
      <c r="H162" s="58">
        <f t="shared" si="10"/>
        <v>9608.7800000000007</v>
      </c>
    </row>
    <row r="163" spans="1:8" ht="22.5" customHeight="1">
      <c r="A163" s="23"/>
      <c r="B163" s="34"/>
      <c r="C163" s="21"/>
      <c r="D163" s="24"/>
      <c r="E163" s="24"/>
      <c r="F163" s="25"/>
      <c r="G163" s="57">
        <f t="shared" si="8"/>
        <v>0</v>
      </c>
      <c r="H163" s="58">
        <f t="shared" si="10"/>
        <v>9608.7800000000007</v>
      </c>
    </row>
    <row r="164" spans="1:8" ht="22.5" customHeight="1">
      <c r="A164" s="23"/>
      <c r="B164" s="34"/>
      <c r="C164" s="21"/>
      <c r="D164" s="24"/>
      <c r="E164" s="24"/>
      <c r="F164" s="25"/>
      <c r="G164" s="57">
        <f t="shared" si="8"/>
        <v>0</v>
      </c>
      <c r="H164" s="58">
        <f t="shared" si="10"/>
        <v>9608.7800000000007</v>
      </c>
    </row>
    <row r="165" spans="1:8" ht="22.5" customHeight="1">
      <c r="A165" s="23"/>
      <c r="B165" s="34"/>
      <c r="C165" s="21"/>
      <c r="D165" s="24"/>
      <c r="E165" s="24"/>
      <c r="F165" s="25"/>
      <c r="G165" s="57">
        <f t="shared" si="8"/>
        <v>0</v>
      </c>
      <c r="H165" s="58">
        <f t="shared" si="10"/>
        <v>9608.7800000000007</v>
      </c>
    </row>
    <row r="166" spans="1:8" ht="22.5" customHeight="1">
      <c r="A166" s="23"/>
      <c r="B166" s="34"/>
      <c r="C166" s="21"/>
      <c r="D166" s="24"/>
      <c r="E166" s="24"/>
      <c r="F166" s="25"/>
      <c r="G166" s="57">
        <f t="shared" si="8"/>
        <v>0</v>
      </c>
      <c r="H166" s="58">
        <f t="shared" si="10"/>
        <v>9608.7800000000007</v>
      </c>
    </row>
    <row r="167" spans="1:8" ht="22.5" customHeight="1">
      <c r="A167" s="23"/>
      <c r="B167" s="34"/>
      <c r="C167" s="21"/>
      <c r="D167" s="24"/>
      <c r="E167" s="24"/>
      <c r="F167" s="25"/>
      <c r="G167" s="57">
        <f t="shared" ref="G167:G198" si="11">IF(A167="Despesas",E167*-1,IF(A167="Receitas",E167,0))</f>
        <v>0</v>
      </c>
      <c r="H167" s="58">
        <f t="shared" si="10"/>
        <v>9608.7800000000007</v>
      </c>
    </row>
    <row r="168" spans="1:8" ht="22.5" customHeight="1">
      <c r="A168" s="23"/>
      <c r="B168" s="34"/>
      <c r="C168" s="21"/>
      <c r="D168" s="24"/>
      <c r="E168" s="24"/>
      <c r="F168" s="25"/>
      <c r="G168" s="57">
        <f t="shared" si="11"/>
        <v>0</v>
      </c>
      <c r="H168" s="58">
        <f t="shared" si="10"/>
        <v>9608.7800000000007</v>
      </c>
    </row>
    <row r="169" spans="1:8" ht="22.5" customHeight="1">
      <c r="A169" s="23"/>
      <c r="B169" s="34"/>
      <c r="C169" s="21"/>
      <c r="D169" s="24"/>
      <c r="E169" s="24"/>
      <c r="F169" s="25"/>
      <c r="G169" s="57">
        <f t="shared" si="11"/>
        <v>0</v>
      </c>
      <c r="H169" s="58">
        <f t="shared" si="10"/>
        <v>9608.7800000000007</v>
      </c>
    </row>
    <row r="170" spans="1:8" ht="22.5" customHeight="1">
      <c r="A170" s="23"/>
      <c r="B170" s="34"/>
      <c r="C170" s="21"/>
      <c r="D170" s="24"/>
      <c r="E170" s="24"/>
      <c r="F170" s="25"/>
      <c r="G170" s="57">
        <f t="shared" si="11"/>
        <v>0</v>
      </c>
      <c r="H170" s="58">
        <f t="shared" si="10"/>
        <v>9608.7800000000007</v>
      </c>
    </row>
    <row r="171" spans="1:8" ht="22.5" customHeight="1">
      <c r="A171" s="23"/>
      <c r="B171" s="34"/>
      <c r="C171" s="21"/>
      <c r="D171" s="24"/>
      <c r="E171" s="24"/>
      <c r="F171" s="25"/>
      <c r="G171" s="57">
        <f t="shared" si="11"/>
        <v>0</v>
      </c>
      <c r="H171" s="58">
        <f t="shared" si="10"/>
        <v>9608.7800000000007</v>
      </c>
    </row>
    <row r="172" spans="1:8" ht="22.5" customHeight="1">
      <c r="A172" s="23"/>
      <c r="B172" s="34"/>
      <c r="C172" s="21"/>
      <c r="D172" s="24"/>
      <c r="E172" s="24"/>
      <c r="F172" s="25"/>
      <c r="G172" s="57">
        <f t="shared" si="11"/>
        <v>0</v>
      </c>
      <c r="H172" s="58">
        <f t="shared" si="10"/>
        <v>9608.7800000000007</v>
      </c>
    </row>
    <row r="173" spans="1:8" ht="22.5" customHeight="1">
      <c r="A173" s="23"/>
      <c r="B173" s="34"/>
      <c r="C173" s="21"/>
      <c r="D173" s="24"/>
      <c r="E173" s="24"/>
      <c r="F173" s="25"/>
      <c r="G173" s="57">
        <f t="shared" si="11"/>
        <v>0</v>
      </c>
      <c r="H173" s="58">
        <f t="shared" si="10"/>
        <v>9608.7800000000007</v>
      </c>
    </row>
    <row r="174" spans="1:8" ht="22.5" customHeight="1">
      <c r="A174" s="23"/>
      <c r="B174" s="34"/>
      <c r="C174" s="21"/>
      <c r="D174" s="24"/>
      <c r="E174" s="24"/>
      <c r="F174" s="25"/>
      <c r="G174" s="57">
        <f t="shared" si="11"/>
        <v>0</v>
      </c>
      <c r="H174" s="58">
        <f t="shared" si="10"/>
        <v>9608.7800000000007</v>
      </c>
    </row>
    <row r="175" spans="1:8" ht="22.5" customHeight="1">
      <c r="A175" s="23"/>
      <c r="B175" s="34"/>
      <c r="C175" s="21"/>
      <c r="D175" s="24"/>
      <c r="E175" s="24"/>
      <c r="F175" s="25"/>
      <c r="G175" s="57">
        <f t="shared" si="11"/>
        <v>0</v>
      </c>
      <c r="H175" s="58">
        <f t="shared" si="10"/>
        <v>9608.7800000000007</v>
      </c>
    </row>
    <row r="176" spans="1:8" ht="22.5" customHeight="1">
      <c r="A176" s="23"/>
      <c r="B176" s="34"/>
      <c r="C176" s="21"/>
      <c r="D176" s="24"/>
      <c r="E176" s="24"/>
      <c r="F176" s="25"/>
      <c r="G176" s="57">
        <f t="shared" si="11"/>
        <v>0</v>
      </c>
      <c r="H176" s="58">
        <f t="shared" si="10"/>
        <v>9608.7800000000007</v>
      </c>
    </row>
    <row r="177" spans="1:8" ht="22.5" customHeight="1">
      <c r="A177" s="23"/>
      <c r="B177" s="34"/>
      <c r="C177" s="21"/>
      <c r="D177" s="24"/>
      <c r="E177" s="24"/>
      <c r="F177" s="25"/>
      <c r="G177" s="57">
        <f t="shared" si="11"/>
        <v>0</v>
      </c>
      <c r="H177" s="58">
        <f t="shared" si="10"/>
        <v>9608.7800000000007</v>
      </c>
    </row>
    <row r="178" spans="1:8" ht="22.5" customHeight="1">
      <c r="A178" s="23"/>
      <c r="B178" s="34"/>
      <c r="C178" s="21"/>
      <c r="D178" s="24"/>
      <c r="E178" s="24"/>
      <c r="F178" s="25"/>
      <c r="G178" s="57">
        <f t="shared" si="11"/>
        <v>0</v>
      </c>
      <c r="H178" s="58">
        <f t="shared" si="10"/>
        <v>9608.7800000000007</v>
      </c>
    </row>
    <row r="179" spans="1:8" ht="22.5" customHeight="1">
      <c r="A179" s="23"/>
      <c r="B179" s="34"/>
      <c r="C179" s="21"/>
      <c r="D179" s="24"/>
      <c r="E179" s="24"/>
      <c r="F179" s="25"/>
      <c r="G179" s="57">
        <f t="shared" si="11"/>
        <v>0</v>
      </c>
      <c r="H179" s="58">
        <f t="shared" si="10"/>
        <v>9608.7800000000007</v>
      </c>
    </row>
    <row r="180" spans="1:8" ht="22.5" customHeight="1">
      <c r="A180" s="23"/>
      <c r="B180" s="34"/>
      <c r="C180" s="21"/>
      <c r="D180" s="24"/>
      <c r="E180" s="24"/>
      <c r="F180" s="25"/>
      <c r="G180" s="57">
        <f t="shared" si="11"/>
        <v>0</v>
      </c>
      <c r="H180" s="58">
        <f t="shared" si="10"/>
        <v>9608.7800000000007</v>
      </c>
    </row>
    <row r="181" spans="1:8" ht="22.5" customHeight="1">
      <c r="A181" s="23"/>
      <c r="B181" s="34"/>
      <c r="C181" s="21"/>
      <c r="D181" s="24"/>
      <c r="E181" s="24"/>
      <c r="F181" s="25"/>
      <c r="G181" s="57">
        <f t="shared" si="11"/>
        <v>0</v>
      </c>
      <c r="H181" s="58">
        <f t="shared" si="10"/>
        <v>9608.7800000000007</v>
      </c>
    </row>
    <row r="182" spans="1:8" ht="22.5" customHeight="1">
      <c r="A182" s="23"/>
      <c r="B182" s="34"/>
      <c r="C182" s="21"/>
      <c r="D182" s="24"/>
      <c r="E182" s="24"/>
      <c r="F182" s="25"/>
      <c r="G182" s="57">
        <f t="shared" si="11"/>
        <v>0</v>
      </c>
      <c r="H182" s="58">
        <f t="shared" si="10"/>
        <v>9608.7800000000007</v>
      </c>
    </row>
    <row r="183" spans="1:8" ht="22.5" customHeight="1">
      <c r="A183" s="23"/>
      <c r="B183" s="34"/>
      <c r="C183" s="21"/>
      <c r="D183" s="24"/>
      <c r="E183" s="24"/>
      <c r="F183" s="25"/>
      <c r="G183" s="57">
        <f t="shared" si="11"/>
        <v>0</v>
      </c>
      <c r="H183" s="58">
        <f t="shared" si="10"/>
        <v>9608.7800000000007</v>
      </c>
    </row>
    <row r="184" spans="1:8" ht="22.5" customHeight="1">
      <c r="A184" s="23"/>
      <c r="B184" s="34"/>
      <c r="C184" s="21"/>
      <c r="D184" s="24"/>
      <c r="E184" s="24"/>
      <c r="F184" s="25"/>
      <c r="G184" s="57">
        <f t="shared" si="11"/>
        <v>0</v>
      </c>
      <c r="H184" s="58">
        <f t="shared" si="10"/>
        <v>9608.7800000000007</v>
      </c>
    </row>
    <row r="185" spans="1:8" ht="22.5" customHeight="1">
      <c r="A185" s="23"/>
      <c r="B185" s="34"/>
      <c r="C185" s="21"/>
      <c r="D185" s="24"/>
      <c r="E185" s="24"/>
      <c r="F185" s="25"/>
      <c r="G185" s="57">
        <f t="shared" si="11"/>
        <v>0</v>
      </c>
      <c r="H185" s="58">
        <f t="shared" si="10"/>
        <v>9608.7800000000007</v>
      </c>
    </row>
    <row r="186" spans="1:8" ht="22.5" customHeight="1">
      <c r="A186" s="23"/>
      <c r="B186" s="34"/>
      <c r="C186" s="21"/>
      <c r="D186" s="24"/>
      <c r="E186" s="24"/>
      <c r="F186" s="25"/>
      <c r="G186" s="57">
        <f t="shared" si="11"/>
        <v>0</v>
      </c>
      <c r="H186" s="58">
        <f t="shared" si="10"/>
        <v>9608.7800000000007</v>
      </c>
    </row>
    <row r="187" spans="1:8" ht="22.5" customHeight="1">
      <c r="A187" s="23"/>
      <c r="B187" s="34"/>
      <c r="C187" s="21"/>
      <c r="D187" s="24"/>
      <c r="E187" s="24"/>
      <c r="F187" s="25"/>
      <c r="G187" s="57">
        <f t="shared" si="11"/>
        <v>0</v>
      </c>
      <c r="H187" s="58">
        <f t="shared" si="10"/>
        <v>9608.7800000000007</v>
      </c>
    </row>
    <row r="188" spans="1:8" ht="22.5" customHeight="1">
      <c r="A188" s="23"/>
      <c r="B188" s="34"/>
      <c r="C188" s="21"/>
      <c r="D188" s="24"/>
      <c r="E188" s="24"/>
      <c r="F188" s="25"/>
      <c r="G188" s="57">
        <f t="shared" si="11"/>
        <v>0</v>
      </c>
      <c r="H188" s="58">
        <f t="shared" si="10"/>
        <v>9608.7800000000007</v>
      </c>
    </row>
    <row r="189" spans="1:8" ht="22.5" customHeight="1">
      <c r="A189" s="23"/>
      <c r="B189" s="34"/>
      <c r="C189" s="21"/>
      <c r="D189" s="24"/>
      <c r="E189" s="24"/>
      <c r="F189" s="25"/>
      <c r="G189" s="57">
        <f t="shared" si="11"/>
        <v>0</v>
      </c>
      <c r="H189" s="58">
        <f t="shared" si="10"/>
        <v>9608.7800000000007</v>
      </c>
    </row>
    <row r="190" spans="1:8" ht="22.5" customHeight="1">
      <c r="A190" s="23"/>
      <c r="B190" s="34"/>
      <c r="C190" s="21"/>
      <c r="D190" s="24"/>
      <c r="E190" s="24"/>
      <c r="F190" s="25"/>
      <c r="G190" s="57">
        <f t="shared" si="11"/>
        <v>0</v>
      </c>
      <c r="H190" s="58">
        <f t="shared" si="10"/>
        <v>9608.7800000000007</v>
      </c>
    </row>
    <row r="191" spans="1:8" ht="22.5" customHeight="1">
      <c r="A191" s="23"/>
      <c r="B191" s="34"/>
      <c r="C191" s="21"/>
      <c r="D191" s="24"/>
      <c r="E191" s="24"/>
      <c r="F191" s="25"/>
      <c r="G191" s="57">
        <f t="shared" si="11"/>
        <v>0</v>
      </c>
      <c r="H191" s="58">
        <f t="shared" si="10"/>
        <v>9608.7800000000007</v>
      </c>
    </row>
    <row r="192" spans="1:8" ht="22.5" customHeight="1">
      <c r="A192" s="23"/>
      <c r="B192" s="34"/>
      <c r="C192" s="21"/>
      <c r="D192" s="24"/>
      <c r="E192" s="24"/>
      <c r="F192" s="25"/>
      <c r="G192" s="57">
        <f t="shared" si="11"/>
        <v>0</v>
      </c>
      <c r="H192" s="58">
        <f t="shared" si="10"/>
        <v>9608.7800000000007</v>
      </c>
    </row>
    <row r="193" spans="1:8" ht="22.5" customHeight="1">
      <c r="A193" s="23"/>
      <c r="B193" s="34"/>
      <c r="C193" s="21"/>
      <c r="D193" s="24"/>
      <c r="E193" s="24"/>
      <c r="F193" s="25"/>
      <c r="G193" s="57">
        <f t="shared" si="11"/>
        <v>0</v>
      </c>
      <c r="H193" s="58">
        <f t="shared" si="10"/>
        <v>9608.7800000000007</v>
      </c>
    </row>
    <row r="194" spans="1:8" ht="22.5" customHeight="1">
      <c r="A194" s="23"/>
      <c r="B194" s="34"/>
      <c r="C194" s="21"/>
      <c r="D194" s="24"/>
      <c r="E194" s="24"/>
      <c r="F194" s="25"/>
      <c r="G194" s="57">
        <f t="shared" si="11"/>
        <v>0</v>
      </c>
      <c r="H194" s="58">
        <f t="shared" si="10"/>
        <v>9608.7800000000007</v>
      </c>
    </row>
    <row r="195" spans="1:8" ht="22.5" customHeight="1">
      <c r="A195" s="23"/>
      <c r="B195" s="34"/>
      <c r="C195" s="21"/>
      <c r="D195" s="24"/>
      <c r="E195" s="24"/>
      <c r="F195" s="25"/>
      <c r="G195" s="57">
        <f t="shared" si="11"/>
        <v>0</v>
      </c>
      <c r="H195" s="58">
        <f t="shared" si="10"/>
        <v>9608.7800000000007</v>
      </c>
    </row>
    <row r="196" spans="1:8" ht="22.5" customHeight="1">
      <c r="A196" s="23"/>
      <c r="B196" s="34"/>
      <c r="C196" s="21"/>
      <c r="D196" s="24"/>
      <c r="E196" s="24"/>
      <c r="F196" s="25"/>
      <c r="G196" s="57">
        <f t="shared" si="11"/>
        <v>0</v>
      </c>
      <c r="H196" s="58">
        <f t="shared" si="10"/>
        <v>9608.7800000000007</v>
      </c>
    </row>
    <row r="197" spans="1:8" ht="22.5" customHeight="1">
      <c r="A197" s="23"/>
      <c r="B197" s="34"/>
      <c r="C197" s="21"/>
      <c r="D197" s="24"/>
      <c r="E197" s="24"/>
      <c r="F197" s="25"/>
      <c r="G197" s="57">
        <f t="shared" si="11"/>
        <v>0</v>
      </c>
      <c r="H197" s="58">
        <f t="shared" si="10"/>
        <v>9608.7800000000007</v>
      </c>
    </row>
    <row r="198" spans="1:8" ht="22.5" customHeight="1">
      <c r="A198" s="23"/>
      <c r="B198" s="34"/>
      <c r="C198" s="21"/>
      <c r="D198" s="24"/>
      <c r="E198" s="24"/>
      <c r="F198" s="25"/>
      <c r="G198" s="57">
        <f t="shared" si="11"/>
        <v>0</v>
      </c>
      <c r="H198" s="58">
        <f t="shared" si="10"/>
        <v>9608.7800000000007</v>
      </c>
    </row>
    <row r="199" spans="1:8" ht="22.5" customHeight="1">
      <c r="A199" s="23"/>
      <c r="B199" s="34"/>
      <c r="C199" s="21"/>
      <c r="D199" s="24"/>
      <c r="E199" s="24"/>
      <c r="F199" s="25"/>
      <c r="G199" s="57">
        <f t="shared" ref="G199:G206" si="12">IF(A199="Despesas",E199*-1,IF(A199="Receitas",E199,0))</f>
        <v>0</v>
      </c>
      <c r="H199" s="58">
        <f t="shared" si="10"/>
        <v>9608.7800000000007</v>
      </c>
    </row>
    <row r="200" spans="1:8" ht="22.5" customHeight="1">
      <c r="A200" s="23"/>
      <c r="B200" s="34"/>
      <c r="C200" s="21"/>
      <c r="D200" s="24"/>
      <c r="E200" s="24"/>
      <c r="F200" s="25"/>
      <c r="G200" s="57">
        <f t="shared" si="12"/>
        <v>0</v>
      </c>
      <c r="H200" s="58">
        <f t="shared" si="10"/>
        <v>9608.7800000000007</v>
      </c>
    </row>
    <row r="201" spans="1:8" ht="22.5" customHeight="1">
      <c r="A201" s="23"/>
      <c r="B201" s="34"/>
      <c r="C201" s="21"/>
      <c r="D201" s="24"/>
      <c r="E201" s="24"/>
      <c r="F201" s="25"/>
      <c r="G201" s="57">
        <f t="shared" si="12"/>
        <v>0</v>
      </c>
      <c r="H201" s="58">
        <f t="shared" si="10"/>
        <v>9608.7800000000007</v>
      </c>
    </row>
    <row r="202" spans="1:8" ht="22.5" customHeight="1">
      <c r="A202" s="23"/>
      <c r="B202" s="34"/>
      <c r="C202" s="21"/>
      <c r="D202" s="24"/>
      <c r="E202" s="24"/>
      <c r="F202" s="25"/>
      <c r="G202" s="57">
        <f t="shared" si="12"/>
        <v>0</v>
      </c>
      <c r="H202" s="58">
        <f t="shared" si="10"/>
        <v>9608.7800000000007</v>
      </c>
    </row>
    <row r="203" spans="1:8" ht="22.5" customHeight="1">
      <c r="A203" s="23"/>
      <c r="B203" s="34"/>
      <c r="C203" s="21"/>
      <c r="D203" s="24"/>
      <c r="E203" s="24"/>
      <c r="F203" s="25"/>
      <c r="G203" s="57">
        <f t="shared" si="12"/>
        <v>0</v>
      </c>
      <c r="H203" s="58">
        <f t="shared" si="10"/>
        <v>9608.7800000000007</v>
      </c>
    </row>
    <row r="204" spans="1:8" ht="22.5" customHeight="1">
      <c r="A204" s="23"/>
      <c r="B204" s="34"/>
      <c r="C204" s="21"/>
      <c r="D204" s="24"/>
      <c r="E204" s="24"/>
      <c r="F204" s="25"/>
      <c r="G204" s="57">
        <f t="shared" si="12"/>
        <v>0</v>
      </c>
      <c r="H204" s="58">
        <f t="shared" si="10"/>
        <v>9608.7800000000007</v>
      </c>
    </row>
    <row r="205" spans="1:8" ht="22.5" customHeight="1">
      <c r="A205" s="23"/>
      <c r="B205" s="34"/>
      <c r="C205" s="21"/>
      <c r="D205" s="24"/>
      <c r="E205" s="24"/>
      <c r="F205" s="25"/>
      <c r="G205" s="57">
        <f t="shared" si="12"/>
        <v>0</v>
      </c>
      <c r="H205" s="58">
        <f t="shared" si="10"/>
        <v>9608.7800000000007</v>
      </c>
    </row>
    <row r="206" spans="1:8" ht="22.5" customHeight="1">
      <c r="A206" s="23"/>
      <c r="B206" s="34"/>
      <c r="C206" s="21"/>
      <c r="D206" s="24"/>
      <c r="E206" s="24"/>
      <c r="F206" s="25"/>
      <c r="G206" s="57">
        <f t="shared" si="12"/>
        <v>0</v>
      </c>
      <c r="H206" s="58">
        <f t="shared" si="10"/>
        <v>9608.7800000000007</v>
      </c>
    </row>
    <row r="207" spans="1:8" ht="22.5" customHeight="1">
      <c r="A207" s="54" t="s">
        <v>71</v>
      </c>
      <c r="B207" s="34" t="s">
        <v>72</v>
      </c>
      <c r="C207" s="54" t="s">
        <v>71</v>
      </c>
      <c r="D207" s="54" t="s">
        <v>71</v>
      </c>
      <c r="E207" s="54" t="s">
        <v>71</v>
      </c>
      <c r="F207" s="54" t="s">
        <v>71</v>
      </c>
      <c r="G207" s="59" t="s">
        <v>71</v>
      </c>
      <c r="H207" s="60" t="s">
        <v>72</v>
      </c>
    </row>
  </sheetData>
  <mergeCells count="4">
    <mergeCell ref="A1:A4"/>
    <mergeCell ref="C1:E3"/>
    <mergeCell ref="F1:F3"/>
    <mergeCell ref="H2:H3"/>
  </mergeCells>
  <conditionalFormatting sqref="H7:H207">
    <cfRule type="cellIs" dxfId="1" priority="1" operator="lessThan">
      <formula>0</formula>
    </cfRule>
  </conditionalFormatting>
  <dataValidations count="6">
    <dataValidation type="custom" allowBlank="1" showDropDown="1" sqref="F6:F206" xr:uid="{43B09B0D-4291-4538-B22C-3787726251A3}">
      <formula1>OR(NOT(ISERROR(DATEVALUE(F6))), AND(ISNUMBER(F6), LEFT(CELL("format", F6))="D"))</formula1>
    </dataValidation>
    <dataValidation type="list" allowBlank="1" sqref="A7:A206 A6:B6" xr:uid="{447EA2AD-8017-4CB5-8863-06CB91BCCA52}">
      <formula1>"Receitas,Despesas"</formula1>
    </dataValidation>
    <dataValidation type="list" allowBlank="1" sqref="C207:G207 A207 C6" xr:uid="{47944287-CC69-4B2E-A411-B13156790054}">
      <formula1>#REF!</formula1>
    </dataValidation>
    <dataValidation type="list" allowBlank="1" sqref="B207" xr:uid="{0FFCB064-E4B7-4262-AEA1-5F48DD25A778}">
      <formula1>INDIRECT($A$7)</formula1>
    </dataValidation>
    <dataValidation type="list" allowBlank="1" sqref="B7:B206" xr:uid="{BCF64EA1-3622-42DF-9E2C-2228186CE86D}">
      <formula1>INDIRECT(A7)</formula1>
    </dataValidation>
    <dataValidation type="list" allowBlank="1" sqref="C7:C206" xr:uid="{559C819F-40EB-4BF7-B473-48080C70772D}">
      <formula1>Bancos</formula1>
    </dataValidation>
  </dataValidation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EAFC-9685-4013-8A07-7B245A64A6F3}">
  <sheetPr>
    <outlinePr summaryBelow="0" summaryRight="0"/>
  </sheetPr>
  <dimension ref="A1:J207"/>
  <sheetViews>
    <sheetView showGridLines="0" workbookViewId="0">
      <selection activeCell="H6" sqref="H6"/>
    </sheetView>
  </sheetViews>
  <sheetFormatPr defaultColWidth="12.5703125" defaultRowHeight="15.75" customHeight="1"/>
  <cols>
    <col min="1" max="1" width="9.28515625" style="27" bestFit="1" customWidth="1"/>
    <col min="2" max="2" width="30.85546875" style="27" bestFit="1" customWidth="1"/>
    <col min="3" max="3" width="20.85546875" style="27" bestFit="1" customWidth="1"/>
    <col min="4" max="4" width="13.85546875" style="27" bestFit="1" customWidth="1"/>
    <col min="5" max="5" width="11.7109375" bestFit="1" customWidth="1"/>
    <col min="6" max="6" width="16.28515625" style="27" customWidth="1"/>
    <col min="7" max="7" width="11.7109375" style="27" hidden="1" customWidth="1"/>
    <col min="8" max="8" width="22.5703125" style="33" bestFit="1" customWidth="1"/>
    <col min="9" max="10" width="12.5703125" style="27" hidden="1" customWidth="1"/>
  </cols>
  <sheetData>
    <row r="1" spans="1:8" ht="19.5" customHeight="1">
      <c r="A1" s="70"/>
      <c r="B1" s="13"/>
      <c r="C1" s="74" t="s">
        <v>64</v>
      </c>
      <c r="D1" s="66"/>
      <c r="E1" s="62"/>
      <c r="F1" s="73" t="s">
        <v>44</v>
      </c>
      <c r="G1" s="14"/>
      <c r="H1" s="35" t="s">
        <v>43</v>
      </c>
    </row>
    <row r="2" spans="1:8" ht="12.75" customHeight="1">
      <c r="A2" s="66"/>
      <c r="B2" s="15"/>
      <c r="C2" s="66"/>
      <c r="D2" s="66"/>
      <c r="E2" s="62"/>
      <c r="F2" s="73"/>
      <c r="G2" s="14"/>
      <c r="H2" s="72">
        <f>NOV!H206</f>
        <v>9608.7800000000007</v>
      </c>
    </row>
    <row r="3" spans="1:8" ht="23.25" customHeight="1">
      <c r="A3" s="66"/>
      <c r="B3" s="12"/>
      <c r="C3" s="66"/>
      <c r="D3" s="66"/>
      <c r="E3" s="62"/>
      <c r="F3" s="73"/>
      <c r="G3" s="14"/>
      <c r="H3" s="72"/>
    </row>
    <row r="4" spans="1:8" ht="12.75">
      <c r="A4" s="66"/>
      <c r="B4" s="13"/>
      <c r="C4" s="16"/>
      <c r="D4" s="16"/>
      <c r="E4" s="16"/>
      <c r="F4" s="14"/>
      <c r="G4" s="14"/>
      <c r="H4" s="31"/>
    </row>
    <row r="5" spans="1:8" ht="22.5" customHeight="1">
      <c r="A5" s="28" t="s">
        <v>45</v>
      </c>
      <c r="B5" s="29" t="s">
        <v>46</v>
      </c>
      <c r="C5" s="30" t="s">
        <v>47</v>
      </c>
      <c r="D5" s="29" t="s">
        <v>48</v>
      </c>
      <c r="E5" s="36" t="s">
        <v>49</v>
      </c>
      <c r="F5" s="29" t="s">
        <v>50</v>
      </c>
      <c r="G5" s="32" t="s">
        <v>67</v>
      </c>
      <c r="H5" s="36" t="s">
        <v>51</v>
      </c>
    </row>
    <row r="6" spans="1:8" ht="22.5" customHeight="1">
      <c r="A6" s="26"/>
      <c r="B6" s="26"/>
      <c r="C6" s="26"/>
      <c r="D6" s="26" t="s">
        <v>52</v>
      </c>
      <c r="E6" s="17">
        <f>H2</f>
        <v>9608.7800000000007</v>
      </c>
      <c r="F6" s="18">
        <v>46356</v>
      </c>
      <c r="G6" s="55">
        <f>E6</f>
        <v>9608.7800000000007</v>
      </c>
      <c r="H6" s="56">
        <f>E6</f>
        <v>9608.7800000000007</v>
      </c>
    </row>
    <row r="7" spans="1:8" ht="22.5" customHeight="1">
      <c r="A7" s="34"/>
      <c r="B7" s="34"/>
      <c r="C7" s="21"/>
      <c r="D7" s="22"/>
      <c r="E7" s="22"/>
      <c r="F7" s="19"/>
      <c r="G7" s="57">
        <f t="shared" ref="G7:G38" si="0">IF(A7="Despesas",E7*-1,IF(A7="Receitas",E7,0))</f>
        <v>0</v>
      </c>
      <c r="H7" s="58">
        <f t="shared" ref="H7:H38" si="1">H6+G7</f>
        <v>9608.7800000000007</v>
      </c>
    </row>
    <row r="8" spans="1:8" ht="22.5" customHeight="1">
      <c r="A8" s="34"/>
      <c r="B8" s="34"/>
      <c r="C8" s="21"/>
      <c r="D8" s="22"/>
      <c r="E8" s="22"/>
      <c r="F8" s="20"/>
      <c r="G8" s="57">
        <f t="shared" si="0"/>
        <v>0</v>
      </c>
      <c r="H8" s="58">
        <f t="shared" si="1"/>
        <v>9608.7800000000007</v>
      </c>
    </row>
    <row r="9" spans="1:8" ht="22.5" customHeight="1">
      <c r="A9" s="21"/>
      <c r="B9" s="34"/>
      <c r="C9" s="21"/>
      <c r="D9" s="22"/>
      <c r="E9" s="22"/>
      <c r="F9" s="19"/>
      <c r="G9" s="57">
        <f t="shared" si="0"/>
        <v>0</v>
      </c>
      <c r="H9" s="58">
        <f t="shared" si="1"/>
        <v>9608.7800000000007</v>
      </c>
    </row>
    <row r="10" spans="1:8" ht="22.5" customHeight="1">
      <c r="A10" s="21"/>
      <c r="B10" s="34"/>
      <c r="C10" s="21"/>
      <c r="D10" s="22"/>
      <c r="E10" s="22"/>
      <c r="F10" s="20"/>
      <c r="G10" s="57">
        <f t="shared" si="0"/>
        <v>0</v>
      </c>
      <c r="H10" s="58">
        <f t="shared" si="1"/>
        <v>9608.7800000000007</v>
      </c>
    </row>
    <row r="11" spans="1:8" ht="22.5" customHeight="1">
      <c r="A11" s="21"/>
      <c r="B11" s="34"/>
      <c r="C11" s="21"/>
      <c r="D11" s="22"/>
      <c r="E11" s="22"/>
      <c r="F11" s="19"/>
      <c r="G11" s="57">
        <f t="shared" si="0"/>
        <v>0</v>
      </c>
      <c r="H11" s="58">
        <f t="shared" si="1"/>
        <v>9608.7800000000007</v>
      </c>
    </row>
    <row r="12" spans="1:8" ht="22.5" customHeight="1">
      <c r="A12" s="21"/>
      <c r="B12" s="34"/>
      <c r="C12" s="21"/>
      <c r="D12" s="22"/>
      <c r="E12" s="22"/>
      <c r="F12" s="20"/>
      <c r="G12" s="57">
        <f t="shared" si="0"/>
        <v>0</v>
      </c>
      <c r="H12" s="58">
        <f t="shared" si="1"/>
        <v>9608.7800000000007</v>
      </c>
    </row>
    <row r="13" spans="1:8" ht="22.5" customHeight="1">
      <c r="A13" s="21"/>
      <c r="B13" s="34"/>
      <c r="C13" s="21"/>
      <c r="D13" s="22"/>
      <c r="E13" s="22"/>
      <c r="F13" s="19"/>
      <c r="G13" s="57">
        <f t="shared" si="0"/>
        <v>0</v>
      </c>
      <c r="H13" s="58">
        <f t="shared" si="1"/>
        <v>9608.7800000000007</v>
      </c>
    </row>
    <row r="14" spans="1:8" ht="22.5" customHeight="1">
      <c r="A14" s="21"/>
      <c r="B14" s="34"/>
      <c r="C14" s="21"/>
      <c r="D14" s="22"/>
      <c r="E14" s="22"/>
      <c r="F14" s="20"/>
      <c r="G14" s="57">
        <f t="shared" si="0"/>
        <v>0</v>
      </c>
      <c r="H14" s="58">
        <f t="shared" si="1"/>
        <v>9608.7800000000007</v>
      </c>
    </row>
    <row r="15" spans="1:8" ht="22.5" customHeight="1">
      <c r="A15" s="21"/>
      <c r="B15" s="34"/>
      <c r="C15" s="21"/>
      <c r="D15" s="22"/>
      <c r="E15" s="22"/>
      <c r="F15" s="19"/>
      <c r="G15" s="57">
        <f t="shared" si="0"/>
        <v>0</v>
      </c>
      <c r="H15" s="58">
        <f t="shared" si="1"/>
        <v>9608.7800000000007</v>
      </c>
    </row>
    <row r="16" spans="1:8" ht="22.5" customHeight="1">
      <c r="A16" s="21"/>
      <c r="B16" s="34"/>
      <c r="C16" s="21"/>
      <c r="D16" s="22"/>
      <c r="E16" s="22"/>
      <c r="F16" s="20"/>
      <c r="G16" s="57">
        <f t="shared" si="0"/>
        <v>0</v>
      </c>
      <c r="H16" s="58">
        <f t="shared" si="1"/>
        <v>9608.7800000000007</v>
      </c>
    </row>
    <row r="17" spans="1:8" ht="22.5" customHeight="1">
      <c r="A17" s="21"/>
      <c r="B17" s="34"/>
      <c r="C17" s="21"/>
      <c r="D17" s="22"/>
      <c r="E17" s="22"/>
      <c r="F17" s="19"/>
      <c r="G17" s="57">
        <f t="shared" si="0"/>
        <v>0</v>
      </c>
      <c r="H17" s="58">
        <f t="shared" si="1"/>
        <v>9608.7800000000007</v>
      </c>
    </row>
    <row r="18" spans="1:8" ht="22.5" customHeight="1">
      <c r="A18" s="21"/>
      <c r="B18" s="34"/>
      <c r="C18" s="21"/>
      <c r="D18" s="22"/>
      <c r="E18" s="22"/>
      <c r="F18" s="20"/>
      <c r="G18" s="57">
        <f t="shared" si="0"/>
        <v>0</v>
      </c>
      <c r="H18" s="58">
        <f t="shared" si="1"/>
        <v>9608.7800000000007</v>
      </c>
    </row>
    <row r="19" spans="1:8" ht="22.5" customHeight="1">
      <c r="A19" s="21"/>
      <c r="B19" s="34"/>
      <c r="C19" s="21"/>
      <c r="D19" s="22"/>
      <c r="E19" s="22"/>
      <c r="F19" s="19"/>
      <c r="G19" s="57">
        <f t="shared" si="0"/>
        <v>0</v>
      </c>
      <c r="H19" s="58">
        <f t="shared" si="1"/>
        <v>9608.7800000000007</v>
      </c>
    </row>
    <row r="20" spans="1:8" ht="22.5" customHeight="1">
      <c r="A20" s="21"/>
      <c r="B20" s="34"/>
      <c r="C20" s="21"/>
      <c r="D20" s="22"/>
      <c r="E20" s="22"/>
      <c r="F20" s="20"/>
      <c r="G20" s="57">
        <f t="shared" si="0"/>
        <v>0</v>
      </c>
      <c r="H20" s="58">
        <f t="shared" si="1"/>
        <v>9608.7800000000007</v>
      </c>
    </row>
    <row r="21" spans="1:8" ht="22.5" customHeight="1">
      <c r="A21" s="21"/>
      <c r="B21" s="34"/>
      <c r="C21" s="21"/>
      <c r="D21" s="22"/>
      <c r="E21" s="22"/>
      <c r="F21" s="19"/>
      <c r="G21" s="57">
        <f t="shared" si="0"/>
        <v>0</v>
      </c>
      <c r="H21" s="58">
        <f t="shared" si="1"/>
        <v>9608.7800000000007</v>
      </c>
    </row>
    <row r="22" spans="1:8" ht="22.5" customHeight="1">
      <c r="A22" s="21"/>
      <c r="B22" s="34"/>
      <c r="C22" s="21"/>
      <c r="D22" s="22"/>
      <c r="E22" s="22"/>
      <c r="F22" s="20"/>
      <c r="G22" s="57">
        <f t="shared" si="0"/>
        <v>0</v>
      </c>
      <c r="H22" s="58">
        <f t="shared" si="1"/>
        <v>9608.7800000000007</v>
      </c>
    </row>
    <row r="23" spans="1:8" ht="22.5" customHeight="1">
      <c r="A23" s="21"/>
      <c r="B23" s="34"/>
      <c r="C23" s="21"/>
      <c r="D23" s="22"/>
      <c r="E23" s="22"/>
      <c r="F23" s="19"/>
      <c r="G23" s="57">
        <f t="shared" si="0"/>
        <v>0</v>
      </c>
      <c r="H23" s="58">
        <f t="shared" si="1"/>
        <v>9608.7800000000007</v>
      </c>
    </row>
    <row r="24" spans="1:8" ht="22.5" customHeight="1">
      <c r="A24" s="21"/>
      <c r="B24" s="34"/>
      <c r="C24" s="21"/>
      <c r="D24" s="22"/>
      <c r="E24" s="22"/>
      <c r="F24" s="20"/>
      <c r="G24" s="57">
        <f t="shared" si="0"/>
        <v>0</v>
      </c>
      <c r="H24" s="58">
        <f t="shared" si="1"/>
        <v>9608.7800000000007</v>
      </c>
    </row>
    <row r="25" spans="1:8" ht="22.5" customHeight="1">
      <c r="A25" s="21"/>
      <c r="B25" s="34"/>
      <c r="C25" s="21"/>
      <c r="D25" s="22"/>
      <c r="E25" s="22"/>
      <c r="F25" s="19"/>
      <c r="G25" s="57">
        <f t="shared" si="0"/>
        <v>0</v>
      </c>
      <c r="H25" s="58">
        <f t="shared" si="1"/>
        <v>9608.7800000000007</v>
      </c>
    </row>
    <row r="26" spans="1:8" ht="22.5" customHeight="1">
      <c r="A26" s="21"/>
      <c r="B26" s="34"/>
      <c r="C26" s="21"/>
      <c r="D26" s="22"/>
      <c r="E26" s="22"/>
      <c r="F26" s="20"/>
      <c r="G26" s="57">
        <f t="shared" si="0"/>
        <v>0</v>
      </c>
      <c r="H26" s="58">
        <f t="shared" si="1"/>
        <v>9608.7800000000007</v>
      </c>
    </row>
    <row r="27" spans="1:8" ht="22.5" customHeight="1">
      <c r="A27" s="21"/>
      <c r="B27" s="34"/>
      <c r="C27" s="21"/>
      <c r="D27" s="22"/>
      <c r="E27" s="22"/>
      <c r="F27" s="19"/>
      <c r="G27" s="57">
        <f t="shared" si="0"/>
        <v>0</v>
      </c>
      <c r="H27" s="58">
        <f t="shared" si="1"/>
        <v>9608.7800000000007</v>
      </c>
    </row>
    <row r="28" spans="1:8" ht="22.5" customHeight="1">
      <c r="A28" s="21"/>
      <c r="B28" s="34"/>
      <c r="C28" s="21"/>
      <c r="D28" s="22"/>
      <c r="E28" s="22"/>
      <c r="F28" s="20"/>
      <c r="G28" s="57">
        <f t="shared" si="0"/>
        <v>0</v>
      </c>
      <c r="H28" s="58">
        <f t="shared" si="1"/>
        <v>9608.7800000000007</v>
      </c>
    </row>
    <row r="29" spans="1:8" ht="22.5" customHeight="1">
      <c r="A29" s="21"/>
      <c r="B29" s="34"/>
      <c r="C29" s="21"/>
      <c r="D29" s="22"/>
      <c r="E29" s="22"/>
      <c r="F29" s="19"/>
      <c r="G29" s="57">
        <f t="shared" si="0"/>
        <v>0</v>
      </c>
      <c r="H29" s="58">
        <f t="shared" si="1"/>
        <v>9608.7800000000007</v>
      </c>
    </row>
    <row r="30" spans="1:8" ht="22.5" customHeight="1">
      <c r="A30" s="21"/>
      <c r="B30" s="34"/>
      <c r="C30" s="21"/>
      <c r="D30" s="22"/>
      <c r="E30" s="22"/>
      <c r="F30" s="20"/>
      <c r="G30" s="57">
        <f t="shared" si="0"/>
        <v>0</v>
      </c>
      <c r="H30" s="58">
        <f t="shared" si="1"/>
        <v>9608.7800000000007</v>
      </c>
    </row>
    <row r="31" spans="1:8" ht="22.5" customHeight="1">
      <c r="A31" s="21"/>
      <c r="B31" s="34"/>
      <c r="C31" s="21"/>
      <c r="D31" s="22"/>
      <c r="E31" s="22"/>
      <c r="F31" s="19"/>
      <c r="G31" s="57">
        <f t="shared" si="0"/>
        <v>0</v>
      </c>
      <c r="H31" s="58">
        <f t="shared" si="1"/>
        <v>9608.7800000000007</v>
      </c>
    </row>
    <row r="32" spans="1:8" ht="22.5" customHeight="1">
      <c r="A32" s="21"/>
      <c r="B32" s="34"/>
      <c r="C32" s="21"/>
      <c r="D32" s="22"/>
      <c r="E32" s="22"/>
      <c r="F32" s="20"/>
      <c r="G32" s="57">
        <f t="shared" si="0"/>
        <v>0</v>
      </c>
      <c r="H32" s="58">
        <f t="shared" si="1"/>
        <v>9608.7800000000007</v>
      </c>
    </row>
    <row r="33" spans="1:8" ht="22.5" customHeight="1">
      <c r="A33" s="21"/>
      <c r="B33" s="34"/>
      <c r="C33" s="21"/>
      <c r="D33" s="22"/>
      <c r="E33" s="22"/>
      <c r="F33" s="19"/>
      <c r="G33" s="57">
        <f t="shared" si="0"/>
        <v>0</v>
      </c>
      <c r="H33" s="58">
        <f t="shared" si="1"/>
        <v>9608.7800000000007</v>
      </c>
    </row>
    <row r="34" spans="1:8" ht="22.5" customHeight="1">
      <c r="A34" s="23"/>
      <c r="B34" s="34"/>
      <c r="C34" s="21"/>
      <c r="D34" s="24"/>
      <c r="E34" s="24"/>
      <c r="F34" s="20"/>
      <c r="G34" s="57">
        <f t="shared" si="0"/>
        <v>0</v>
      </c>
      <c r="H34" s="58">
        <f t="shared" si="1"/>
        <v>9608.7800000000007</v>
      </c>
    </row>
    <row r="35" spans="1:8" ht="22.5" customHeight="1">
      <c r="A35" s="23"/>
      <c r="B35" s="34"/>
      <c r="C35" s="21"/>
      <c r="D35" s="24"/>
      <c r="E35" s="24"/>
      <c r="F35" s="19"/>
      <c r="G35" s="57">
        <f t="shared" si="0"/>
        <v>0</v>
      </c>
      <c r="H35" s="58">
        <f t="shared" si="1"/>
        <v>9608.7800000000007</v>
      </c>
    </row>
    <row r="36" spans="1:8" ht="22.5" customHeight="1">
      <c r="A36" s="23"/>
      <c r="B36" s="34"/>
      <c r="C36" s="21"/>
      <c r="D36" s="24"/>
      <c r="E36" s="24"/>
      <c r="F36" s="20"/>
      <c r="G36" s="57">
        <f t="shared" si="0"/>
        <v>0</v>
      </c>
      <c r="H36" s="58">
        <f t="shared" si="1"/>
        <v>9608.7800000000007</v>
      </c>
    </row>
    <row r="37" spans="1:8" ht="22.5" customHeight="1">
      <c r="A37" s="23"/>
      <c r="B37" s="34"/>
      <c r="C37" s="21"/>
      <c r="D37" s="24"/>
      <c r="E37" s="24"/>
      <c r="F37" s="19"/>
      <c r="G37" s="57">
        <f t="shared" si="0"/>
        <v>0</v>
      </c>
      <c r="H37" s="58">
        <f t="shared" si="1"/>
        <v>9608.7800000000007</v>
      </c>
    </row>
    <row r="38" spans="1:8" ht="22.5" customHeight="1">
      <c r="A38" s="23"/>
      <c r="B38" s="34"/>
      <c r="C38" s="21"/>
      <c r="D38" s="24"/>
      <c r="E38" s="24"/>
      <c r="F38" s="25"/>
      <c r="G38" s="57">
        <f t="shared" si="0"/>
        <v>0</v>
      </c>
      <c r="H38" s="58">
        <f t="shared" si="1"/>
        <v>9608.7800000000007</v>
      </c>
    </row>
    <row r="39" spans="1:8" ht="22.5" customHeight="1">
      <c r="A39" s="23"/>
      <c r="B39" s="34"/>
      <c r="C39" s="21"/>
      <c r="D39" s="24"/>
      <c r="E39" s="24"/>
      <c r="F39" s="25"/>
      <c r="G39" s="57">
        <f t="shared" ref="G39:G70" si="2">IF(A39="Despesas",E39*-1,IF(A39="Receitas",E39,0))</f>
        <v>0</v>
      </c>
      <c r="H39" s="58">
        <f t="shared" ref="H39:H70" si="3">H38+G39</f>
        <v>9608.7800000000007</v>
      </c>
    </row>
    <row r="40" spans="1:8" ht="22.5" customHeight="1">
      <c r="A40" s="23"/>
      <c r="B40" s="34"/>
      <c r="C40" s="21"/>
      <c r="D40" s="24"/>
      <c r="E40" s="24"/>
      <c r="F40" s="25"/>
      <c r="G40" s="57">
        <f t="shared" si="2"/>
        <v>0</v>
      </c>
      <c r="H40" s="58">
        <f t="shared" si="3"/>
        <v>9608.7800000000007</v>
      </c>
    </row>
    <row r="41" spans="1:8" ht="22.5" customHeight="1">
      <c r="A41" s="23"/>
      <c r="B41" s="34"/>
      <c r="C41" s="21"/>
      <c r="D41" s="24"/>
      <c r="E41" s="24"/>
      <c r="F41" s="25"/>
      <c r="G41" s="57">
        <f t="shared" si="2"/>
        <v>0</v>
      </c>
      <c r="H41" s="58">
        <f t="shared" si="3"/>
        <v>9608.7800000000007</v>
      </c>
    </row>
    <row r="42" spans="1:8" ht="22.5" customHeight="1">
      <c r="A42" s="23"/>
      <c r="B42" s="34"/>
      <c r="C42" s="21"/>
      <c r="D42" s="24"/>
      <c r="E42" s="24"/>
      <c r="F42" s="25"/>
      <c r="G42" s="57">
        <f t="shared" si="2"/>
        <v>0</v>
      </c>
      <c r="H42" s="58">
        <f t="shared" si="3"/>
        <v>9608.7800000000007</v>
      </c>
    </row>
    <row r="43" spans="1:8" ht="22.5" customHeight="1">
      <c r="A43" s="23"/>
      <c r="B43" s="34"/>
      <c r="C43" s="21"/>
      <c r="D43" s="24"/>
      <c r="E43" s="24"/>
      <c r="F43" s="25"/>
      <c r="G43" s="57">
        <f t="shared" si="2"/>
        <v>0</v>
      </c>
      <c r="H43" s="58">
        <f t="shared" si="3"/>
        <v>9608.7800000000007</v>
      </c>
    </row>
    <row r="44" spans="1:8" ht="22.5" customHeight="1">
      <c r="A44" s="23"/>
      <c r="B44" s="34"/>
      <c r="C44" s="21"/>
      <c r="D44" s="24"/>
      <c r="E44" s="24"/>
      <c r="F44" s="25"/>
      <c r="G44" s="57">
        <f t="shared" si="2"/>
        <v>0</v>
      </c>
      <c r="H44" s="58">
        <f t="shared" si="3"/>
        <v>9608.7800000000007</v>
      </c>
    </row>
    <row r="45" spans="1:8" ht="22.5" customHeight="1">
      <c r="A45" s="23"/>
      <c r="B45" s="34"/>
      <c r="C45" s="21"/>
      <c r="D45" s="24"/>
      <c r="E45" s="24"/>
      <c r="F45" s="25"/>
      <c r="G45" s="57">
        <f t="shared" si="2"/>
        <v>0</v>
      </c>
      <c r="H45" s="58">
        <f t="shared" si="3"/>
        <v>9608.7800000000007</v>
      </c>
    </row>
    <row r="46" spans="1:8" ht="22.5" customHeight="1">
      <c r="A46" s="23"/>
      <c r="B46" s="34"/>
      <c r="C46" s="21"/>
      <c r="D46" s="24"/>
      <c r="E46" s="24"/>
      <c r="F46" s="25"/>
      <c r="G46" s="57">
        <f t="shared" si="2"/>
        <v>0</v>
      </c>
      <c r="H46" s="58">
        <f t="shared" si="3"/>
        <v>9608.7800000000007</v>
      </c>
    </row>
    <row r="47" spans="1:8" ht="22.5" customHeight="1">
      <c r="A47" s="23"/>
      <c r="B47" s="34"/>
      <c r="C47" s="21"/>
      <c r="D47" s="24"/>
      <c r="E47" s="24"/>
      <c r="F47" s="25"/>
      <c r="G47" s="57">
        <f t="shared" si="2"/>
        <v>0</v>
      </c>
      <c r="H47" s="58">
        <f t="shared" si="3"/>
        <v>9608.7800000000007</v>
      </c>
    </row>
    <row r="48" spans="1:8" ht="22.5" customHeight="1">
      <c r="A48" s="23"/>
      <c r="B48" s="34"/>
      <c r="C48" s="21"/>
      <c r="D48" s="24"/>
      <c r="E48" s="24"/>
      <c r="F48" s="25"/>
      <c r="G48" s="57">
        <f t="shared" si="2"/>
        <v>0</v>
      </c>
      <c r="H48" s="58">
        <f t="shared" si="3"/>
        <v>9608.7800000000007</v>
      </c>
    </row>
    <row r="49" spans="1:8" ht="22.5" customHeight="1">
      <c r="A49" s="23"/>
      <c r="B49" s="34"/>
      <c r="C49" s="21"/>
      <c r="D49" s="24"/>
      <c r="E49" s="24"/>
      <c r="F49" s="25"/>
      <c r="G49" s="57">
        <f t="shared" si="2"/>
        <v>0</v>
      </c>
      <c r="H49" s="58">
        <f t="shared" si="3"/>
        <v>9608.7800000000007</v>
      </c>
    </row>
    <row r="50" spans="1:8" ht="22.5" customHeight="1">
      <c r="A50" s="23"/>
      <c r="B50" s="34"/>
      <c r="C50" s="21"/>
      <c r="D50" s="24"/>
      <c r="E50" s="24"/>
      <c r="F50" s="25"/>
      <c r="G50" s="57">
        <f t="shared" si="2"/>
        <v>0</v>
      </c>
      <c r="H50" s="58">
        <f t="shared" si="3"/>
        <v>9608.7800000000007</v>
      </c>
    </row>
    <row r="51" spans="1:8" ht="22.5" customHeight="1">
      <c r="A51" s="23"/>
      <c r="B51" s="34"/>
      <c r="C51" s="21"/>
      <c r="D51" s="24"/>
      <c r="E51" s="24"/>
      <c r="F51" s="25"/>
      <c r="G51" s="57">
        <f t="shared" si="2"/>
        <v>0</v>
      </c>
      <c r="H51" s="58">
        <f t="shared" si="3"/>
        <v>9608.7800000000007</v>
      </c>
    </row>
    <row r="52" spans="1:8" ht="22.5" customHeight="1">
      <c r="A52" s="23"/>
      <c r="B52" s="34"/>
      <c r="C52" s="21"/>
      <c r="D52" s="24"/>
      <c r="E52" s="24"/>
      <c r="F52" s="25"/>
      <c r="G52" s="57">
        <f t="shared" si="2"/>
        <v>0</v>
      </c>
      <c r="H52" s="58">
        <f t="shared" si="3"/>
        <v>9608.7800000000007</v>
      </c>
    </row>
    <row r="53" spans="1:8" ht="22.5" customHeight="1">
      <c r="A53" s="23"/>
      <c r="B53" s="34"/>
      <c r="C53" s="21"/>
      <c r="D53" s="24"/>
      <c r="E53" s="24"/>
      <c r="F53" s="25"/>
      <c r="G53" s="57">
        <f t="shared" si="2"/>
        <v>0</v>
      </c>
      <c r="H53" s="58">
        <f t="shared" si="3"/>
        <v>9608.7800000000007</v>
      </c>
    </row>
    <row r="54" spans="1:8" ht="22.5" customHeight="1">
      <c r="A54" s="23"/>
      <c r="B54" s="34"/>
      <c r="C54" s="21"/>
      <c r="D54" s="24"/>
      <c r="E54" s="24"/>
      <c r="F54" s="25"/>
      <c r="G54" s="57">
        <f t="shared" si="2"/>
        <v>0</v>
      </c>
      <c r="H54" s="58">
        <f t="shared" si="3"/>
        <v>9608.7800000000007</v>
      </c>
    </row>
    <row r="55" spans="1:8" ht="22.5" customHeight="1">
      <c r="A55" s="23"/>
      <c r="B55" s="34"/>
      <c r="C55" s="21"/>
      <c r="D55" s="24"/>
      <c r="E55" s="24"/>
      <c r="F55" s="25"/>
      <c r="G55" s="57">
        <f t="shared" si="2"/>
        <v>0</v>
      </c>
      <c r="H55" s="58">
        <f t="shared" si="3"/>
        <v>9608.7800000000007</v>
      </c>
    </row>
    <row r="56" spans="1:8" ht="22.5" customHeight="1">
      <c r="A56" s="23"/>
      <c r="B56" s="34"/>
      <c r="C56" s="21"/>
      <c r="D56" s="24"/>
      <c r="E56" s="24"/>
      <c r="F56" s="25"/>
      <c r="G56" s="57">
        <f t="shared" si="2"/>
        <v>0</v>
      </c>
      <c r="H56" s="58">
        <f t="shared" si="3"/>
        <v>9608.7800000000007</v>
      </c>
    </row>
    <row r="57" spans="1:8" ht="22.5" customHeight="1">
      <c r="A57" s="23"/>
      <c r="B57" s="34"/>
      <c r="C57" s="21"/>
      <c r="D57" s="24"/>
      <c r="E57" s="24"/>
      <c r="F57" s="25"/>
      <c r="G57" s="57">
        <f t="shared" si="2"/>
        <v>0</v>
      </c>
      <c r="H57" s="58">
        <f t="shared" si="3"/>
        <v>9608.7800000000007</v>
      </c>
    </row>
    <row r="58" spans="1:8" ht="22.5" customHeight="1">
      <c r="A58" s="23"/>
      <c r="B58" s="34"/>
      <c r="C58" s="21"/>
      <c r="D58" s="24"/>
      <c r="E58" s="24"/>
      <c r="F58" s="25"/>
      <c r="G58" s="57">
        <f t="shared" si="2"/>
        <v>0</v>
      </c>
      <c r="H58" s="58">
        <f t="shared" si="3"/>
        <v>9608.7800000000007</v>
      </c>
    </row>
    <row r="59" spans="1:8" ht="22.5" customHeight="1">
      <c r="A59" s="23"/>
      <c r="B59" s="34"/>
      <c r="C59" s="21"/>
      <c r="D59" s="24"/>
      <c r="E59" s="24"/>
      <c r="F59" s="25"/>
      <c r="G59" s="57">
        <f t="shared" si="2"/>
        <v>0</v>
      </c>
      <c r="H59" s="58">
        <f t="shared" si="3"/>
        <v>9608.7800000000007</v>
      </c>
    </row>
    <row r="60" spans="1:8" ht="22.5" customHeight="1">
      <c r="A60" s="23"/>
      <c r="B60" s="34"/>
      <c r="C60" s="21"/>
      <c r="D60" s="24"/>
      <c r="E60" s="24"/>
      <c r="F60" s="25"/>
      <c r="G60" s="57">
        <f t="shared" si="2"/>
        <v>0</v>
      </c>
      <c r="H60" s="58">
        <f t="shared" si="3"/>
        <v>9608.7800000000007</v>
      </c>
    </row>
    <row r="61" spans="1:8" ht="22.5" customHeight="1">
      <c r="A61" s="23"/>
      <c r="B61" s="34"/>
      <c r="C61" s="21"/>
      <c r="D61" s="24"/>
      <c r="E61" s="24"/>
      <c r="F61" s="25"/>
      <c r="G61" s="57">
        <f t="shared" si="2"/>
        <v>0</v>
      </c>
      <c r="H61" s="58">
        <f t="shared" si="3"/>
        <v>9608.7800000000007</v>
      </c>
    </row>
    <row r="62" spans="1:8" ht="22.5" customHeight="1">
      <c r="A62" s="23"/>
      <c r="B62" s="34"/>
      <c r="C62" s="21"/>
      <c r="D62" s="24"/>
      <c r="E62" s="24"/>
      <c r="F62" s="25"/>
      <c r="G62" s="57">
        <f t="shared" si="2"/>
        <v>0</v>
      </c>
      <c r="H62" s="58">
        <f t="shared" si="3"/>
        <v>9608.7800000000007</v>
      </c>
    </row>
    <row r="63" spans="1:8" ht="22.5" customHeight="1">
      <c r="A63" s="23"/>
      <c r="B63" s="34"/>
      <c r="C63" s="21"/>
      <c r="D63" s="24"/>
      <c r="E63" s="24"/>
      <c r="F63" s="25"/>
      <c r="G63" s="57">
        <f t="shared" si="2"/>
        <v>0</v>
      </c>
      <c r="H63" s="58">
        <f t="shared" si="3"/>
        <v>9608.7800000000007</v>
      </c>
    </row>
    <row r="64" spans="1:8" ht="22.5" customHeight="1">
      <c r="A64" s="23"/>
      <c r="B64" s="34"/>
      <c r="C64" s="21"/>
      <c r="D64" s="24"/>
      <c r="E64" s="24"/>
      <c r="F64" s="25"/>
      <c r="G64" s="57">
        <f t="shared" si="2"/>
        <v>0</v>
      </c>
      <c r="H64" s="58">
        <f t="shared" si="3"/>
        <v>9608.7800000000007</v>
      </c>
    </row>
    <row r="65" spans="1:8" ht="22.5" customHeight="1">
      <c r="A65" s="23"/>
      <c r="B65" s="34"/>
      <c r="C65" s="21"/>
      <c r="D65" s="24"/>
      <c r="E65" s="24"/>
      <c r="F65" s="25"/>
      <c r="G65" s="57">
        <f t="shared" si="2"/>
        <v>0</v>
      </c>
      <c r="H65" s="58">
        <f t="shared" si="3"/>
        <v>9608.7800000000007</v>
      </c>
    </row>
    <row r="66" spans="1:8" ht="22.5" customHeight="1">
      <c r="A66" s="23"/>
      <c r="B66" s="34"/>
      <c r="C66" s="21"/>
      <c r="D66" s="24"/>
      <c r="E66" s="24"/>
      <c r="F66" s="25"/>
      <c r="G66" s="57">
        <f t="shared" si="2"/>
        <v>0</v>
      </c>
      <c r="H66" s="58">
        <f t="shared" si="3"/>
        <v>9608.7800000000007</v>
      </c>
    </row>
    <row r="67" spans="1:8" ht="22.5" customHeight="1">
      <c r="A67" s="23"/>
      <c r="B67" s="34"/>
      <c r="C67" s="21"/>
      <c r="D67" s="24"/>
      <c r="E67" s="24"/>
      <c r="F67" s="25"/>
      <c r="G67" s="57">
        <f t="shared" si="2"/>
        <v>0</v>
      </c>
      <c r="H67" s="58">
        <f t="shared" si="3"/>
        <v>9608.7800000000007</v>
      </c>
    </row>
    <row r="68" spans="1:8" ht="22.5" customHeight="1">
      <c r="A68" s="23"/>
      <c r="B68" s="34"/>
      <c r="C68" s="21"/>
      <c r="D68" s="24"/>
      <c r="E68" s="24"/>
      <c r="F68" s="25"/>
      <c r="G68" s="57">
        <f t="shared" si="2"/>
        <v>0</v>
      </c>
      <c r="H68" s="58">
        <f t="shared" si="3"/>
        <v>9608.7800000000007</v>
      </c>
    </row>
    <row r="69" spans="1:8" ht="22.5" customHeight="1">
      <c r="A69" s="23"/>
      <c r="B69" s="34"/>
      <c r="C69" s="21"/>
      <c r="D69" s="24"/>
      <c r="E69" s="24"/>
      <c r="F69" s="25"/>
      <c r="G69" s="57">
        <f t="shared" si="2"/>
        <v>0</v>
      </c>
      <c r="H69" s="58">
        <f t="shared" si="3"/>
        <v>9608.7800000000007</v>
      </c>
    </row>
    <row r="70" spans="1:8" ht="22.5" customHeight="1">
      <c r="A70" s="23"/>
      <c r="B70" s="34"/>
      <c r="C70" s="21"/>
      <c r="D70" s="24"/>
      <c r="E70" s="24"/>
      <c r="F70" s="25"/>
      <c r="G70" s="57">
        <f t="shared" si="2"/>
        <v>0</v>
      </c>
      <c r="H70" s="58">
        <f t="shared" si="3"/>
        <v>9608.7800000000007</v>
      </c>
    </row>
    <row r="71" spans="1:8" ht="22.5" customHeight="1">
      <c r="A71" s="23"/>
      <c r="B71" s="34"/>
      <c r="C71" s="21"/>
      <c r="D71" s="24"/>
      <c r="E71" s="24"/>
      <c r="F71" s="25"/>
      <c r="G71" s="57">
        <f t="shared" ref="G71:G102" si="4">IF(A71="Despesas",E71*-1,IF(A71="Receitas",E71,0))</f>
        <v>0</v>
      </c>
      <c r="H71" s="58">
        <f t="shared" ref="H71:H102" si="5">H70+G71</f>
        <v>9608.7800000000007</v>
      </c>
    </row>
    <row r="72" spans="1:8" ht="22.5" customHeight="1">
      <c r="A72" s="23"/>
      <c r="B72" s="34"/>
      <c r="C72" s="21"/>
      <c r="D72" s="24"/>
      <c r="E72" s="24"/>
      <c r="F72" s="25"/>
      <c r="G72" s="57">
        <f t="shared" si="4"/>
        <v>0</v>
      </c>
      <c r="H72" s="58">
        <f t="shared" si="5"/>
        <v>9608.7800000000007</v>
      </c>
    </row>
    <row r="73" spans="1:8" ht="22.5" customHeight="1">
      <c r="A73" s="23"/>
      <c r="B73" s="34"/>
      <c r="C73" s="21"/>
      <c r="D73" s="24"/>
      <c r="E73" s="24"/>
      <c r="F73" s="25"/>
      <c r="G73" s="57">
        <f t="shared" si="4"/>
        <v>0</v>
      </c>
      <c r="H73" s="58">
        <f t="shared" si="5"/>
        <v>9608.7800000000007</v>
      </c>
    </row>
    <row r="74" spans="1:8" ht="22.5" customHeight="1">
      <c r="A74" s="23"/>
      <c r="B74" s="34"/>
      <c r="C74" s="21"/>
      <c r="D74" s="24"/>
      <c r="E74" s="24"/>
      <c r="F74" s="25"/>
      <c r="G74" s="57">
        <f t="shared" si="4"/>
        <v>0</v>
      </c>
      <c r="H74" s="58">
        <f t="shared" si="5"/>
        <v>9608.7800000000007</v>
      </c>
    </row>
    <row r="75" spans="1:8" ht="22.5" customHeight="1">
      <c r="A75" s="23"/>
      <c r="B75" s="34"/>
      <c r="C75" s="21"/>
      <c r="D75" s="24"/>
      <c r="E75" s="24"/>
      <c r="F75" s="25"/>
      <c r="G75" s="57">
        <f t="shared" si="4"/>
        <v>0</v>
      </c>
      <c r="H75" s="58">
        <f t="shared" si="5"/>
        <v>9608.7800000000007</v>
      </c>
    </row>
    <row r="76" spans="1:8" ht="22.5" customHeight="1">
      <c r="A76" s="23"/>
      <c r="B76" s="34"/>
      <c r="C76" s="21"/>
      <c r="D76" s="24"/>
      <c r="E76" s="24"/>
      <c r="F76" s="25"/>
      <c r="G76" s="57">
        <f t="shared" si="4"/>
        <v>0</v>
      </c>
      <c r="H76" s="58">
        <f t="shared" si="5"/>
        <v>9608.7800000000007</v>
      </c>
    </row>
    <row r="77" spans="1:8" ht="22.5" customHeight="1">
      <c r="A77" s="23"/>
      <c r="B77" s="34"/>
      <c r="C77" s="21"/>
      <c r="D77" s="24"/>
      <c r="E77" s="24"/>
      <c r="F77" s="25"/>
      <c r="G77" s="57">
        <f t="shared" si="4"/>
        <v>0</v>
      </c>
      <c r="H77" s="58">
        <f t="shared" si="5"/>
        <v>9608.7800000000007</v>
      </c>
    </row>
    <row r="78" spans="1:8" ht="22.5" customHeight="1">
      <c r="A78" s="23"/>
      <c r="B78" s="34"/>
      <c r="C78" s="21"/>
      <c r="D78" s="24"/>
      <c r="E78" s="24"/>
      <c r="F78" s="25"/>
      <c r="G78" s="57">
        <f t="shared" si="4"/>
        <v>0</v>
      </c>
      <c r="H78" s="58">
        <f t="shared" si="5"/>
        <v>9608.7800000000007</v>
      </c>
    </row>
    <row r="79" spans="1:8" ht="22.5" customHeight="1">
      <c r="A79" s="23"/>
      <c r="B79" s="34"/>
      <c r="C79" s="21"/>
      <c r="D79" s="24"/>
      <c r="E79" s="24"/>
      <c r="F79" s="25"/>
      <c r="G79" s="57">
        <f t="shared" si="4"/>
        <v>0</v>
      </c>
      <c r="H79" s="58">
        <f t="shared" si="5"/>
        <v>9608.7800000000007</v>
      </c>
    </row>
    <row r="80" spans="1:8" ht="22.5" customHeight="1">
      <c r="A80" s="23"/>
      <c r="B80" s="34"/>
      <c r="C80" s="21"/>
      <c r="D80" s="24"/>
      <c r="E80" s="24"/>
      <c r="F80" s="25"/>
      <c r="G80" s="57">
        <f t="shared" si="4"/>
        <v>0</v>
      </c>
      <c r="H80" s="58">
        <f t="shared" si="5"/>
        <v>9608.7800000000007</v>
      </c>
    </row>
    <row r="81" spans="1:8" ht="22.5" customHeight="1">
      <c r="A81" s="23"/>
      <c r="B81" s="34"/>
      <c r="C81" s="21"/>
      <c r="D81" s="24"/>
      <c r="E81" s="24"/>
      <c r="F81" s="25"/>
      <c r="G81" s="57">
        <f t="shared" si="4"/>
        <v>0</v>
      </c>
      <c r="H81" s="58">
        <f t="shared" si="5"/>
        <v>9608.7800000000007</v>
      </c>
    </row>
    <row r="82" spans="1:8" ht="22.5" customHeight="1">
      <c r="A82" s="23"/>
      <c r="B82" s="34"/>
      <c r="C82" s="21"/>
      <c r="D82" s="24"/>
      <c r="E82" s="24"/>
      <c r="F82" s="25"/>
      <c r="G82" s="57">
        <f t="shared" si="4"/>
        <v>0</v>
      </c>
      <c r="H82" s="58">
        <f t="shared" si="5"/>
        <v>9608.7800000000007</v>
      </c>
    </row>
    <row r="83" spans="1:8" ht="22.5" customHeight="1">
      <c r="A83" s="23"/>
      <c r="B83" s="34"/>
      <c r="C83" s="21"/>
      <c r="D83" s="24"/>
      <c r="E83" s="24"/>
      <c r="F83" s="25"/>
      <c r="G83" s="57">
        <f t="shared" si="4"/>
        <v>0</v>
      </c>
      <c r="H83" s="58">
        <f t="shared" si="5"/>
        <v>9608.7800000000007</v>
      </c>
    </row>
    <row r="84" spans="1:8" ht="22.5" customHeight="1">
      <c r="A84" s="23"/>
      <c r="B84" s="34"/>
      <c r="C84" s="21"/>
      <c r="D84" s="24"/>
      <c r="E84" s="24"/>
      <c r="F84" s="25"/>
      <c r="G84" s="57">
        <f t="shared" si="4"/>
        <v>0</v>
      </c>
      <c r="H84" s="58">
        <f t="shared" si="5"/>
        <v>9608.7800000000007</v>
      </c>
    </row>
    <row r="85" spans="1:8" ht="22.5" customHeight="1">
      <c r="A85" s="23"/>
      <c r="B85" s="34"/>
      <c r="C85" s="21"/>
      <c r="D85" s="24"/>
      <c r="E85" s="24"/>
      <c r="F85" s="25"/>
      <c r="G85" s="57">
        <f t="shared" si="4"/>
        <v>0</v>
      </c>
      <c r="H85" s="58">
        <f t="shared" si="5"/>
        <v>9608.7800000000007</v>
      </c>
    </row>
    <row r="86" spans="1:8" ht="22.5" customHeight="1">
      <c r="A86" s="23"/>
      <c r="B86" s="34"/>
      <c r="C86" s="21"/>
      <c r="D86" s="24"/>
      <c r="E86" s="24"/>
      <c r="F86" s="25"/>
      <c r="G86" s="57">
        <f t="shared" si="4"/>
        <v>0</v>
      </c>
      <c r="H86" s="58">
        <f t="shared" si="5"/>
        <v>9608.7800000000007</v>
      </c>
    </row>
    <row r="87" spans="1:8" ht="22.5" customHeight="1">
      <c r="A87" s="23"/>
      <c r="B87" s="34"/>
      <c r="C87" s="21"/>
      <c r="D87" s="24"/>
      <c r="E87" s="24"/>
      <c r="F87" s="25"/>
      <c r="G87" s="57">
        <f t="shared" si="4"/>
        <v>0</v>
      </c>
      <c r="H87" s="58">
        <f t="shared" si="5"/>
        <v>9608.7800000000007</v>
      </c>
    </row>
    <row r="88" spans="1:8" ht="22.5" customHeight="1">
      <c r="A88" s="23"/>
      <c r="B88" s="34"/>
      <c r="C88" s="21"/>
      <c r="D88" s="24"/>
      <c r="E88" s="24"/>
      <c r="F88" s="25"/>
      <c r="G88" s="57">
        <f t="shared" si="4"/>
        <v>0</v>
      </c>
      <c r="H88" s="58">
        <f t="shared" si="5"/>
        <v>9608.7800000000007</v>
      </c>
    </row>
    <row r="89" spans="1:8" ht="22.5" customHeight="1">
      <c r="A89" s="23"/>
      <c r="B89" s="34"/>
      <c r="C89" s="21"/>
      <c r="D89" s="24"/>
      <c r="E89" s="24"/>
      <c r="F89" s="25"/>
      <c r="G89" s="57">
        <f t="shared" si="4"/>
        <v>0</v>
      </c>
      <c r="H89" s="58">
        <f t="shared" si="5"/>
        <v>9608.7800000000007</v>
      </c>
    </row>
    <row r="90" spans="1:8" ht="22.5" customHeight="1">
      <c r="A90" s="23"/>
      <c r="B90" s="34"/>
      <c r="C90" s="21"/>
      <c r="D90" s="24"/>
      <c r="E90" s="24"/>
      <c r="F90" s="25"/>
      <c r="G90" s="57">
        <f t="shared" si="4"/>
        <v>0</v>
      </c>
      <c r="H90" s="58">
        <f t="shared" si="5"/>
        <v>9608.7800000000007</v>
      </c>
    </row>
    <row r="91" spans="1:8" ht="22.5" customHeight="1">
      <c r="A91" s="23"/>
      <c r="B91" s="34"/>
      <c r="C91" s="21"/>
      <c r="D91" s="24"/>
      <c r="E91" s="24"/>
      <c r="F91" s="25"/>
      <c r="G91" s="57">
        <f t="shared" si="4"/>
        <v>0</v>
      </c>
      <c r="H91" s="58">
        <f t="shared" si="5"/>
        <v>9608.7800000000007</v>
      </c>
    </row>
    <row r="92" spans="1:8" ht="22.5" customHeight="1">
      <c r="A92" s="23"/>
      <c r="B92" s="34"/>
      <c r="C92" s="21"/>
      <c r="D92" s="24"/>
      <c r="E92" s="24"/>
      <c r="F92" s="25"/>
      <c r="G92" s="57">
        <f t="shared" si="4"/>
        <v>0</v>
      </c>
      <c r="H92" s="58">
        <f t="shared" si="5"/>
        <v>9608.7800000000007</v>
      </c>
    </row>
    <row r="93" spans="1:8" ht="22.5" customHeight="1">
      <c r="A93" s="23"/>
      <c r="B93" s="34"/>
      <c r="C93" s="21"/>
      <c r="D93" s="24"/>
      <c r="E93" s="24"/>
      <c r="F93" s="25"/>
      <c r="G93" s="57">
        <f t="shared" si="4"/>
        <v>0</v>
      </c>
      <c r="H93" s="58">
        <f t="shared" si="5"/>
        <v>9608.7800000000007</v>
      </c>
    </row>
    <row r="94" spans="1:8" ht="22.5" customHeight="1">
      <c r="A94" s="23"/>
      <c r="B94" s="34"/>
      <c r="C94" s="21"/>
      <c r="D94" s="24"/>
      <c r="E94" s="24"/>
      <c r="F94" s="25"/>
      <c r="G94" s="57">
        <f t="shared" si="4"/>
        <v>0</v>
      </c>
      <c r="H94" s="58">
        <f t="shared" si="5"/>
        <v>9608.7800000000007</v>
      </c>
    </row>
    <row r="95" spans="1:8" ht="22.5" customHeight="1">
      <c r="A95" s="23"/>
      <c r="B95" s="34"/>
      <c r="C95" s="21"/>
      <c r="D95" s="24"/>
      <c r="E95" s="24"/>
      <c r="F95" s="25"/>
      <c r="G95" s="57">
        <f t="shared" si="4"/>
        <v>0</v>
      </c>
      <c r="H95" s="58">
        <f t="shared" si="5"/>
        <v>9608.7800000000007</v>
      </c>
    </row>
    <row r="96" spans="1:8" ht="22.5" customHeight="1">
      <c r="A96" s="23"/>
      <c r="B96" s="34"/>
      <c r="C96" s="21"/>
      <c r="D96" s="24"/>
      <c r="E96" s="24"/>
      <c r="F96" s="25"/>
      <c r="G96" s="57">
        <f t="shared" si="4"/>
        <v>0</v>
      </c>
      <c r="H96" s="58">
        <f t="shared" si="5"/>
        <v>9608.7800000000007</v>
      </c>
    </row>
    <row r="97" spans="1:8" ht="22.5" customHeight="1">
      <c r="A97" s="23"/>
      <c r="B97" s="34"/>
      <c r="C97" s="21"/>
      <c r="D97" s="24"/>
      <c r="E97" s="24"/>
      <c r="F97" s="25"/>
      <c r="G97" s="57">
        <f t="shared" si="4"/>
        <v>0</v>
      </c>
      <c r="H97" s="58">
        <f t="shared" si="5"/>
        <v>9608.7800000000007</v>
      </c>
    </row>
    <row r="98" spans="1:8" ht="22.5" customHeight="1">
      <c r="A98" s="23"/>
      <c r="B98" s="34"/>
      <c r="C98" s="21"/>
      <c r="D98" s="24"/>
      <c r="E98" s="24"/>
      <c r="F98" s="25"/>
      <c r="G98" s="57">
        <f t="shared" si="4"/>
        <v>0</v>
      </c>
      <c r="H98" s="58">
        <f t="shared" si="5"/>
        <v>9608.7800000000007</v>
      </c>
    </row>
    <row r="99" spans="1:8" ht="22.5" customHeight="1">
      <c r="A99" s="23"/>
      <c r="B99" s="34"/>
      <c r="C99" s="21"/>
      <c r="D99" s="24"/>
      <c r="E99" s="24"/>
      <c r="F99" s="25"/>
      <c r="G99" s="57">
        <f t="shared" si="4"/>
        <v>0</v>
      </c>
      <c r="H99" s="58">
        <f t="shared" si="5"/>
        <v>9608.7800000000007</v>
      </c>
    </row>
    <row r="100" spans="1:8" ht="22.5" customHeight="1">
      <c r="A100" s="23"/>
      <c r="B100" s="34"/>
      <c r="C100" s="21"/>
      <c r="D100" s="24"/>
      <c r="E100" s="24"/>
      <c r="F100" s="25"/>
      <c r="G100" s="57">
        <f t="shared" si="4"/>
        <v>0</v>
      </c>
      <c r="H100" s="58">
        <f t="shared" si="5"/>
        <v>9608.7800000000007</v>
      </c>
    </row>
    <row r="101" spans="1:8" ht="22.5" customHeight="1">
      <c r="A101" s="23"/>
      <c r="B101" s="34"/>
      <c r="C101" s="21"/>
      <c r="D101" s="24"/>
      <c r="E101" s="24"/>
      <c r="F101" s="25"/>
      <c r="G101" s="57">
        <f t="shared" si="4"/>
        <v>0</v>
      </c>
      <c r="H101" s="58">
        <f t="shared" si="5"/>
        <v>9608.7800000000007</v>
      </c>
    </row>
    <row r="102" spans="1:8" ht="22.5" customHeight="1">
      <c r="A102" s="23"/>
      <c r="B102" s="34"/>
      <c r="C102" s="21"/>
      <c r="D102" s="24"/>
      <c r="E102" s="24"/>
      <c r="F102" s="25"/>
      <c r="G102" s="57">
        <f t="shared" si="4"/>
        <v>0</v>
      </c>
      <c r="H102" s="58">
        <f t="shared" si="5"/>
        <v>9608.7800000000007</v>
      </c>
    </row>
    <row r="103" spans="1:8" ht="22.5" customHeight="1">
      <c r="A103" s="23"/>
      <c r="B103" s="34"/>
      <c r="C103" s="21"/>
      <c r="D103" s="24"/>
      <c r="E103" s="24"/>
      <c r="F103" s="25"/>
      <c r="G103" s="57">
        <f t="shared" ref="G103:G134" si="6">IF(A103="Despesas",E103*-1,IF(A103="Receitas",E103,0))</f>
        <v>0</v>
      </c>
      <c r="H103" s="58">
        <f t="shared" ref="H103:H134" si="7">H102+G103</f>
        <v>9608.7800000000007</v>
      </c>
    </row>
    <row r="104" spans="1:8" ht="22.5" customHeight="1">
      <c r="A104" s="23"/>
      <c r="B104" s="34"/>
      <c r="C104" s="21"/>
      <c r="D104" s="24"/>
      <c r="E104" s="24"/>
      <c r="F104" s="25"/>
      <c r="G104" s="57">
        <f t="shared" si="6"/>
        <v>0</v>
      </c>
      <c r="H104" s="58">
        <f t="shared" si="7"/>
        <v>9608.7800000000007</v>
      </c>
    </row>
    <row r="105" spans="1:8" ht="22.5" customHeight="1">
      <c r="A105" s="23"/>
      <c r="B105" s="34"/>
      <c r="C105" s="21"/>
      <c r="D105" s="24"/>
      <c r="E105" s="24"/>
      <c r="F105" s="25"/>
      <c r="G105" s="57">
        <f t="shared" si="6"/>
        <v>0</v>
      </c>
      <c r="H105" s="58">
        <f t="shared" si="7"/>
        <v>9608.7800000000007</v>
      </c>
    </row>
    <row r="106" spans="1:8" ht="22.5" customHeight="1">
      <c r="A106" s="23"/>
      <c r="B106" s="34"/>
      <c r="C106" s="21"/>
      <c r="D106" s="24"/>
      <c r="E106" s="24"/>
      <c r="F106" s="25"/>
      <c r="G106" s="57">
        <f t="shared" si="6"/>
        <v>0</v>
      </c>
      <c r="H106" s="58">
        <f t="shared" si="7"/>
        <v>9608.7800000000007</v>
      </c>
    </row>
    <row r="107" spans="1:8" ht="22.5" customHeight="1">
      <c r="A107" s="23"/>
      <c r="B107" s="34"/>
      <c r="C107" s="21"/>
      <c r="D107" s="24"/>
      <c r="E107" s="24"/>
      <c r="F107" s="25"/>
      <c r="G107" s="57">
        <f t="shared" si="6"/>
        <v>0</v>
      </c>
      <c r="H107" s="58">
        <f t="shared" si="7"/>
        <v>9608.7800000000007</v>
      </c>
    </row>
    <row r="108" spans="1:8" ht="22.5" customHeight="1">
      <c r="A108" s="23"/>
      <c r="B108" s="34"/>
      <c r="C108" s="21"/>
      <c r="D108" s="24"/>
      <c r="E108" s="24"/>
      <c r="F108" s="25"/>
      <c r="G108" s="57">
        <f t="shared" si="6"/>
        <v>0</v>
      </c>
      <c r="H108" s="58">
        <f t="shared" si="7"/>
        <v>9608.7800000000007</v>
      </c>
    </row>
    <row r="109" spans="1:8" ht="22.5" customHeight="1">
      <c r="A109" s="23"/>
      <c r="B109" s="34"/>
      <c r="C109" s="21"/>
      <c r="D109" s="24"/>
      <c r="E109" s="24"/>
      <c r="F109" s="25"/>
      <c r="G109" s="57">
        <f t="shared" si="6"/>
        <v>0</v>
      </c>
      <c r="H109" s="58">
        <f t="shared" si="7"/>
        <v>9608.7800000000007</v>
      </c>
    </row>
    <row r="110" spans="1:8" ht="22.5" customHeight="1">
      <c r="A110" s="23"/>
      <c r="B110" s="34"/>
      <c r="C110" s="21"/>
      <c r="D110" s="24"/>
      <c r="E110" s="24"/>
      <c r="F110" s="25"/>
      <c r="G110" s="57">
        <f t="shared" si="6"/>
        <v>0</v>
      </c>
      <c r="H110" s="58">
        <f t="shared" si="7"/>
        <v>9608.7800000000007</v>
      </c>
    </row>
    <row r="111" spans="1:8" ht="22.5" customHeight="1">
      <c r="A111" s="23"/>
      <c r="B111" s="34"/>
      <c r="C111" s="21"/>
      <c r="D111" s="24"/>
      <c r="E111" s="24"/>
      <c r="F111" s="25"/>
      <c r="G111" s="57">
        <f t="shared" si="6"/>
        <v>0</v>
      </c>
      <c r="H111" s="58">
        <f t="shared" si="7"/>
        <v>9608.7800000000007</v>
      </c>
    </row>
    <row r="112" spans="1:8" ht="22.5" customHeight="1">
      <c r="A112" s="23"/>
      <c r="B112" s="34"/>
      <c r="C112" s="21"/>
      <c r="D112" s="24"/>
      <c r="E112" s="24"/>
      <c r="F112" s="25"/>
      <c r="G112" s="57">
        <f t="shared" si="6"/>
        <v>0</v>
      </c>
      <c r="H112" s="58">
        <f t="shared" si="7"/>
        <v>9608.7800000000007</v>
      </c>
    </row>
    <row r="113" spans="1:8" ht="22.5" customHeight="1">
      <c r="A113" s="23"/>
      <c r="B113" s="34"/>
      <c r="C113" s="21"/>
      <c r="D113" s="24"/>
      <c r="E113" s="24"/>
      <c r="F113" s="25"/>
      <c r="G113" s="57">
        <f t="shared" si="6"/>
        <v>0</v>
      </c>
      <c r="H113" s="58">
        <f t="shared" si="7"/>
        <v>9608.7800000000007</v>
      </c>
    </row>
    <row r="114" spans="1:8" ht="22.5" customHeight="1">
      <c r="A114" s="23"/>
      <c r="B114" s="34"/>
      <c r="C114" s="21"/>
      <c r="D114" s="24"/>
      <c r="E114" s="24"/>
      <c r="F114" s="25"/>
      <c r="G114" s="57">
        <f t="shared" si="6"/>
        <v>0</v>
      </c>
      <c r="H114" s="58">
        <f t="shared" si="7"/>
        <v>9608.7800000000007</v>
      </c>
    </row>
    <row r="115" spans="1:8" ht="22.5" customHeight="1">
      <c r="A115" s="23"/>
      <c r="B115" s="34"/>
      <c r="C115" s="21"/>
      <c r="D115" s="24"/>
      <c r="E115" s="24"/>
      <c r="F115" s="25"/>
      <c r="G115" s="57">
        <f t="shared" si="6"/>
        <v>0</v>
      </c>
      <c r="H115" s="58">
        <f t="shared" si="7"/>
        <v>9608.7800000000007</v>
      </c>
    </row>
    <row r="116" spans="1:8" ht="22.5" customHeight="1">
      <c r="A116" s="23"/>
      <c r="B116" s="34"/>
      <c r="C116" s="21"/>
      <c r="D116" s="24"/>
      <c r="E116" s="24"/>
      <c r="F116" s="25"/>
      <c r="G116" s="57">
        <f t="shared" si="6"/>
        <v>0</v>
      </c>
      <c r="H116" s="58">
        <f t="shared" si="7"/>
        <v>9608.7800000000007</v>
      </c>
    </row>
    <row r="117" spans="1:8" ht="22.5" customHeight="1">
      <c r="A117" s="23"/>
      <c r="B117" s="34"/>
      <c r="C117" s="21"/>
      <c r="D117" s="24"/>
      <c r="E117" s="24"/>
      <c r="F117" s="25"/>
      <c r="G117" s="57">
        <f t="shared" si="6"/>
        <v>0</v>
      </c>
      <c r="H117" s="58">
        <f t="shared" si="7"/>
        <v>9608.7800000000007</v>
      </c>
    </row>
    <row r="118" spans="1:8" ht="22.5" customHeight="1">
      <c r="A118" s="23"/>
      <c r="B118" s="34"/>
      <c r="C118" s="21"/>
      <c r="D118" s="24"/>
      <c r="E118" s="24"/>
      <c r="F118" s="25"/>
      <c r="G118" s="57">
        <f t="shared" si="6"/>
        <v>0</v>
      </c>
      <c r="H118" s="58">
        <f t="shared" si="7"/>
        <v>9608.7800000000007</v>
      </c>
    </row>
    <row r="119" spans="1:8" ht="22.5" customHeight="1">
      <c r="A119" s="23"/>
      <c r="B119" s="34"/>
      <c r="C119" s="21"/>
      <c r="D119" s="24"/>
      <c r="E119" s="24"/>
      <c r="F119" s="25"/>
      <c r="G119" s="57">
        <f t="shared" si="6"/>
        <v>0</v>
      </c>
      <c r="H119" s="58">
        <f t="shared" si="7"/>
        <v>9608.7800000000007</v>
      </c>
    </row>
    <row r="120" spans="1:8" ht="22.5" customHeight="1">
      <c r="A120" s="23"/>
      <c r="B120" s="34"/>
      <c r="C120" s="21"/>
      <c r="D120" s="24"/>
      <c r="E120" s="24"/>
      <c r="F120" s="25"/>
      <c r="G120" s="57">
        <f t="shared" si="6"/>
        <v>0</v>
      </c>
      <c r="H120" s="58">
        <f t="shared" si="7"/>
        <v>9608.7800000000007</v>
      </c>
    </row>
    <row r="121" spans="1:8" ht="22.5" customHeight="1">
      <c r="A121" s="23"/>
      <c r="B121" s="34"/>
      <c r="C121" s="21"/>
      <c r="D121" s="24"/>
      <c r="E121" s="24"/>
      <c r="F121" s="25"/>
      <c r="G121" s="57">
        <f t="shared" si="6"/>
        <v>0</v>
      </c>
      <c r="H121" s="58">
        <f t="shared" si="7"/>
        <v>9608.7800000000007</v>
      </c>
    </row>
    <row r="122" spans="1:8" ht="22.5" customHeight="1">
      <c r="A122" s="23"/>
      <c r="B122" s="34"/>
      <c r="C122" s="21"/>
      <c r="D122" s="24"/>
      <c r="E122" s="24"/>
      <c r="F122" s="25"/>
      <c r="G122" s="57">
        <f t="shared" si="6"/>
        <v>0</v>
      </c>
      <c r="H122" s="58">
        <f t="shared" si="7"/>
        <v>9608.7800000000007</v>
      </c>
    </row>
    <row r="123" spans="1:8" ht="22.5" customHeight="1">
      <c r="A123" s="23"/>
      <c r="B123" s="34"/>
      <c r="C123" s="21"/>
      <c r="D123" s="24"/>
      <c r="E123" s="24"/>
      <c r="F123" s="25"/>
      <c r="G123" s="57">
        <f t="shared" si="6"/>
        <v>0</v>
      </c>
      <c r="H123" s="58">
        <f t="shared" si="7"/>
        <v>9608.7800000000007</v>
      </c>
    </row>
    <row r="124" spans="1:8" ht="22.5" customHeight="1">
      <c r="A124" s="23"/>
      <c r="B124" s="34"/>
      <c r="C124" s="21"/>
      <c r="D124" s="24"/>
      <c r="E124" s="24"/>
      <c r="F124" s="25"/>
      <c r="G124" s="57">
        <f t="shared" si="6"/>
        <v>0</v>
      </c>
      <c r="H124" s="58">
        <f t="shared" si="7"/>
        <v>9608.7800000000007</v>
      </c>
    </row>
    <row r="125" spans="1:8" ht="22.5" customHeight="1">
      <c r="A125" s="23"/>
      <c r="B125" s="34"/>
      <c r="C125" s="21"/>
      <c r="D125" s="24"/>
      <c r="E125" s="24"/>
      <c r="F125" s="25"/>
      <c r="G125" s="57">
        <f t="shared" si="6"/>
        <v>0</v>
      </c>
      <c r="H125" s="58">
        <f t="shared" si="7"/>
        <v>9608.7800000000007</v>
      </c>
    </row>
    <row r="126" spans="1:8" ht="22.5" customHeight="1">
      <c r="A126" s="23"/>
      <c r="B126" s="34"/>
      <c r="C126" s="21"/>
      <c r="D126" s="24"/>
      <c r="E126" s="24"/>
      <c r="F126" s="25"/>
      <c r="G126" s="57">
        <f t="shared" si="6"/>
        <v>0</v>
      </c>
      <c r="H126" s="58">
        <f t="shared" si="7"/>
        <v>9608.7800000000007</v>
      </c>
    </row>
    <row r="127" spans="1:8" ht="22.5" customHeight="1">
      <c r="A127" s="23"/>
      <c r="B127" s="34"/>
      <c r="C127" s="21"/>
      <c r="D127" s="24"/>
      <c r="E127" s="24"/>
      <c r="F127" s="25"/>
      <c r="G127" s="57">
        <f t="shared" si="6"/>
        <v>0</v>
      </c>
      <c r="H127" s="58">
        <f t="shared" si="7"/>
        <v>9608.7800000000007</v>
      </c>
    </row>
    <row r="128" spans="1:8" ht="22.5" customHeight="1">
      <c r="A128" s="23"/>
      <c r="B128" s="34"/>
      <c r="C128" s="21"/>
      <c r="D128" s="24"/>
      <c r="E128" s="24"/>
      <c r="F128" s="25"/>
      <c r="G128" s="57">
        <f t="shared" si="6"/>
        <v>0</v>
      </c>
      <c r="H128" s="58">
        <f t="shared" si="7"/>
        <v>9608.7800000000007</v>
      </c>
    </row>
    <row r="129" spans="1:8" ht="22.5" customHeight="1">
      <c r="A129" s="23"/>
      <c r="B129" s="34"/>
      <c r="C129" s="21"/>
      <c r="D129" s="24"/>
      <c r="E129" s="24"/>
      <c r="F129" s="25"/>
      <c r="G129" s="57">
        <f t="shared" si="6"/>
        <v>0</v>
      </c>
      <c r="H129" s="58">
        <f t="shared" si="7"/>
        <v>9608.7800000000007</v>
      </c>
    </row>
    <row r="130" spans="1:8" ht="22.5" customHeight="1">
      <c r="A130" s="23"/>
      <c r="B130" s="34"/>
      <c r="C130" s="21"/>
      <c r="D130" s="24"/>
      <c r="E130" s="24"/>
      <c r="F130" s="25"/>
      <c r="G130" s="57">
        <f t="shared" si="6"/>
        <v>0</v>
      </c>
      <c r="H130" s="58">
        <f t="shared" si="7"/>
        <v>9608.7800000000007</v>
      </c>
    </row>
    <row r="131" spans="1:8" ht="22.5" customHeight="1">
      <c r="A131" s="23"/>
      <c r="B131" s="34"/>
      <c r="C131" s="21"/>
      <c r="D131" s="24"/>
      <c r="E131" s="24"/>
      <c r="F131" s="25"/>
      <c r="G131" s="57">
        <f t="shared" si="6"/>
        <v>0</v>
      </c>
      <c r="H131" s="58">
        <f t="shared" si="7"/>
        <v>9608.7800000000007</v>
      </c>
    </row>
    <row r="132" spans="1:8" ht="22.5" customHeight="1">
      <c r="A132" s="23"/>
      <c r="B132" s="34"/>
      <c r="C132" s="21"/>
      <c r="D132" s="24"/>
      <c r="E132" s="24"/>
      <c r="F132" s="25"/>
      <c r="G132" s="57">
        <f t="shared" si="6"/>
        <v>0</v>
      </c>
      <c r="H132" s="58">
        <f t="shared" si="7"/>
        <v>9608.7800000000007</v>
      </c>
    </row>
    <row r="133" spans="1:8" ht="22.5" customHeight="1">
      <c r="A133" s="23"/>
      <c r="B133" s="34"/>
      <c r="C133" s="21"/>
      <c r="D133" s="24"/>
      <c r="E133" s="24"/>
      <c r="F133" s="25"/>
      <c r="G133" s="57">
        <f t="shared" si="6"/>
        <v>0</v>
      </c>
      <c r="H133" s="58">
        <f t="shared" si="7"/>
        <v>9608.7800000000007</v>
      </c>
    </row>
    <row r="134" spans="1:8" ht="22.5" customHeight="1">
      <c r="A134" s="23"/>
      <c r="B134" s="34"/>
      <c r="C134" s="21"/>
      <c r="D134" s="24"/>
      <c r="E134" s="24"/>
      <c r="F134" s="25"/>
      <c r="G134" s="57">
        <f t="shared" si="6"/>
        <v>0</v>
      </c>
      <c r="H134" s="58">
        <f t="shared" si="7"/>
        <v>9608.7800000000007</v>
      </c>
    </row>
    <row r="135" spans="1:8" ht="22.5" customHeight="1">
      <c r="A135" s="23"/>
      <c r="B135" s="34"/>
      <c r="C135" s="21"/>
      <c r="D135" s="24"/>
      <c r="E135" s="24"/>
      <c r="F135" s="25"/>
      <c r="G135" s="57">
        <f t="shared" ref="G135:G166" si="8">IF(A135="Despesas",E135*-1,IF(A135="Receitas",E135,0))</f>
        <v>0</v>
      </c>
      <c r="H135" s="58">
        <f t="shared" ref="H135:H166" si="9">H134+G135</f>
        <v>9608.7800000000007</v>
      </c>
    </row>
    <row r="136" spans="1:8" ht="22.5" customHeight="1">
      <c r="A136" s="23"/>
      <c r="B136" s="34"/>
      <c r="C136" s="21"/>
      <c r="D136" s="24"/>
      <c r="E136" s="24"/>
      <c r="F136" s="25"/>
      <c r="G136" s="57">
        <f t="shared" si="8"/>
        <v>0</v>
      </c>
      <c r="H136" s="58">
        <f t="shared" si="9"/>
        <v>9608.7800000000007</v>
      </c>
    </row>
    <row r="137" spans="1:8" ht="22.5" customHeight="1">
      <c r="A137" s="23"/>
      <c r="B137" s="34"/>
      <c r="C137" s="21"/>
      <c r="D137" s="24"/>
      <c r="E137" s="24"/>
      <c r="F137" s="25"/>
      <c r="G137" s="57">
        <f t="shared" si="8"/>
        <v>0</v>
      </c>
      <c r="H137" s="58">
        <f t="shared" si="9"/>
        <v>9608.7800000000007</v>
      </c>
    </row>
    <row r="138" spans="1:8" ht="22.5" customHeight="1">
      <c r="A138" s="23"/>
      <c r="B138" s="34"/>
      <c r="C138" s="21"/>
      <c r="D138" s="24"/>
      <c r="E138" s="24"/>
      <c r="F138" s="25"/>
      <c r="G138" s="57">
        <f t="shared" si="8"/>
        <v>0</v>
      </c>
      <c r="H138" s="58">
        <f t="shared" si="9"/>
        <v>9608.7800000000007</v>
      </c>
    </row>
    <row r="139" spans="1:8" ht="22.5" customHeight="1">
      <c r="A139" s="23"/>
      <c r="B139" s="34"/>
      <c r="C139" s="21"/>
      <c r="D139" s="24"/>
      <c r="E139" s="24"/>
      <c r="F139" s="25"/>
      <c r="G139" s="57">
        <f t="shared" si="8"/>
        <v>0</v>
      </c>
      <c r="H139" s="58">
        <f t="shared" si="9"/>
        <v>9608.7800000000007</v>
      </c>
    </row>
    <row r="140" spans="1:8" ht="22.5" customHeight="1">
      <c r="A140" s="23"/>
      <c r="B140" s="34"/>
      <c r="C140" s="21"/>
      <c r="D140" s="24"/>
      <c r="E140" s="24"/>
      <c r="F140" s="25"/>
      <c r="G140" s="57">
        <f t="shared" si="8"/>
        <v>0</v>
      </c>
      <c r="H140" s="58">
        <f t="shared" si="9"/>
        <v>9608.7800000000007</v>
      </c>
    </row>
    <row r="141" spans="1:8" ht="22.5" customHeight="1">
      <c r="A141" s="23"/>
      <c r="B141" s="34"/>
      <c r="C141" s="21"/>
      <c r="D141" s="24"/>
      <c r="E141" s="24"/>
      <c r="F141" s="25"/>
      <c r="G141" s="57">
        <f t="shared" si="8"/>
        <v>0</v>
      </c>
      <c r="H141" s="58">
        <f t="shared" si="9"/>
        <v>9608.7800000000007</v>
      </c>
    </row>
    <row r="142" spans="1:8" ht="22.5" customHeight="1">
      <c r="A142" s="23"/>
      <c r="B142" s="34"/>
      <c r="C142" s="21"/>
      <c r="D142" s="24"/>
      <c r="E142" s="24"/>
      <c r="F142" s="25"/>
      <c r="G142" s="57">
        <f t="shared" si="8"/>
        <v>0</v>
      </c>
      <c r="H142" s="58">
        <f t="shared" si="9"/>
        <v>9608.7800000000007</v>
      </c>
    </row>
    <row r="143" spans="1:8" ht="22.5" customHeight="1">
      <c r="A143" s="23"/>
      <c r="B143" s="34"/>
      <c r="C143" s="21"/>
      <c r="D143" s="24"/>
      <c r="E143" s="24"/>
      <c r="F143" s="25"/>
      <c r="G143" s="57">
        <f t="shared" si="8"/>
        <v>0</v>
      </c>
      <c r="H143" s="58">
        <f t="shared" ref="H143:H206" si="10">H142+G143</f>
        <v>9608.7800000000007</v>
      </c>
    </row>
    <row r="144" spans="1:8" ht="22.5" customHeight="1">
      <c r="A144" s="23"/>
      <c r="B144" s="34"/>
      <c r="C144" s="21"/>
      <c r="D144" s="24"/>
      <c r="E144" s="24"/>
      <c r="F144" s="25"/>
      <c r="G144" s="57">
        <f t="shared" si="8"/>
        <v>0</v>
      </c>
      <c r="H144" s="58">
        <f t="shared" si="10"/>
        <v>9608.7800000000007</v>
      </c>
    </row>
    <row r="145" spans="1:8" ht="22.5" customHeight="1">
      <c r="A145" s="23"/>
      <c r="B145" s="34"/>
      <c r="C145" s="21"/>
      <c r="D145" s="24"/>
      <c r="E145" s="24"/>
      <c r="F145" s="25"/>
      <c r="G145" s="57">
        <f t="shared" si="8"/>
        <v>0</v>
      </c>
      <c r="H145" s="58">
        <f t="shared" si="10"/>
        <v>9608.7800000000007</v>
      </c>
    </row>
    <row r="146" spans="1:8" ht="22.5" customHeight="1">
      <c r="A146" s="23"/>
      <c r="B146" s="34"/>
      <c r="C146" s="21"/>
      <c r="D146" s="24"/>
      <c r="E146" s="24"/>
      <c r="F146" s="25"/>
      <c r="G146" s="57">
        <f t="shared" si="8"/>
        <v>0</v>
      </c>
      <c r="H146" s="58">
        <f t="shared" si="10"/>
        <v>9608.7800000000007</v>
      </c>
    </row>
    <row r="147" spans="1:8" ht="22.5" customHeight="1">
      <c r="A147" s="23"/>
      <c r="B147" s="34"/>
      <c r="C147" s="21"/>
      <c r="D147" s="24"/>
      <c r="E147" s="24"/>
      <c r="F147" s="25"/>
      <c r="G147" s="57">
        <f t="shared" si="8"/>
        <v>0</v>
      </c>
      <c r="H147" s="58">
        <f t="shared" si="10"/>
        <v>9608.7800000000007</v>
      </c>
    </row>
    <row r="148" spans="1:8" ht="22.5" customHeight="1">
      <c r="A148" s="23"/>
      <c r="B148" s="34"/>
      <c r="C148" s="21"/>
      <c r="D148" s="24"/>
      <c r="E148" s="24"/>
      <c r="F148" s="25"/>
      <c r="G148" s="57">
        <f t="shared" si="8"/>
        <v>0</v>
      </c>
      <c r="H148" s="58">
        <f t="shared" si="10"/>
        <v>9608.7800000000007</v>
      </c>
    </row>
    <row r="149" spans="1:8" ht="22.5" customHeight="1">
      <c r="A149" s="23"/>
      <c r="B149" s="34"/>
      <c r="C149" s="21"/>
      <c r="D149" s="24"/>
      <c r="E149" s="24"/>
      <c r="F149" s="25"/>
      <c r="G149" s="57">
        <f t="shared" si="8"/>
        <v>0</v>
      </c>
      <c r="H149" s="58">
        <f t="shared" si="10"/>
        <v>9608.7800000000007</v>
      </c>
    </row>
    <row r="150" spans="1:8" ht="22.5" customHeight="1">
      <c r="A150" s="23"/>
      <c r="B150" s="34"/>
      <c r="C150" s="21"/>
      <c r="D150" s="24"/>
      <c r="E150" s="24"/>
      <c r="F150" s="25"/>
      <c r="G150" s="57">
        <f t="shared" si="8"/>
        <v>0</v>
      </c>
      <c r="H150" s="58">
        <f t="shared" si="10"/>
        <v>9608.7800000000007</v>
      </c>
    </row>
    <row r="151" spans="1:8" ht="22.5" customHeight="1">
      <c r="A151" s="23"/>
      <c r="B151" s="34"/>
      <c r="C151" s="21"/>
      <c r="D151" s="24"/>
      <c r="E151" s="24"/>
      <c r="F151" s="25"/>
      <c r="G151" s="57">
        <f t="shared" si="8"/>
        <v>0</v>
      </c>
      <c r="H151" s="58">
        <f t="shared" si="10"/>
        <v>9608.7800000000007</v>
      </c>
    </row>
    <row r="152" spans="1:8" ht="22.5" customHeight="1">
      <c r="A152" s="23"/>
      <c r="B152" s="34"/>
      <c r="C152" s="21"/>
      <c r="D152" s="24"/>
      <c r="E152" s="24"/>
      <c r="F152" s="25"/>
      <c r="G152" s="57">
        <f t="shared" si="8"/>
        <v>0</v>
      </c>
      <c r="H152" s="58">
        <f t="shared" si="10"/>
        <v>9608.7800000000007</v>
      </c>
    </row>
    <row r="153" spans="1:8" ht="22.5" customHeight="1">
      <c r="A153" s="23"/>
      <c r="B153" s="34"/>
      <c r="C153" s="21"/>
      <c r="D153" s="24"/>
      <c r="E153" s="24"/>
      <c r="F153" s="25"/>
      <c r="G153" s="57">
        <f t="shared" si="8"/>
        <v>0</v>
      </c>
      <c r="H153" s="58">
        <f t="shared" si="10"/>
        <v>9608.7800000000007</v>
      </c>
    </row>
    <row r="154" spans="1:8" ht="22.5" customHeight="1">
      <c r="A154" s="23"/>
      <c r="B154" s="34"/>
      <c r="C154" s="21"/>
      <c r="D154" s="24"/>
      <c r="E154" s="24"/>
      <c r="F154" s="25"/>
      <c r="G154" s="57">
        <f t="shared" si="8"/>
        <v>0</v>
      </c>
      <c r="H154" s="58">
        <f t="shared" si="10"/>
        <v>9608.7800000000007</v>
      </c>
    </row>
    <row r="155" spans="1:8" ht="22.5" customHeight="1">
      <c r="A155" s="23"/>
      <c r="B155" s="34"/>
      <c r="C155" s="21"/>
      <c r="D155" s="24"/>
      <c r="E155" s="24"/>
      <c r="F155" s="25"/>
      <c r="G155" s="57">
        <f t="shared" si="8"/>
        <v>0</v>
      </c>
      <c r="H155" s="58">
        <f t="shared" si="10"/>
        <v>9608.7800000000007</v>
      </c>
    </row>
    <row r="156" spans="1:8" ht="22.5" customHeight="1">
      <c r="A156" s="23"/>
      <c r="B156" s="34"/>
      <c r="C156" s="21"/>
      <c r="D156" s="24"/>
      <c r="E156" s="24"/>
      <c r="F156" s="25"/>
      <c r="G156" s="57">
        <f t="shared" si="8"/>
        <v>0</v>
      </c>
      <c r="H156" s="58">
        <f t="shared" si="10"/>
        <v>9608.7800000000007</v>
      </c>
    </row>
    <row r="157" spans="1:8" ht="22.5" customHeight="1">
      <c r="A157" s="23"/>
      <c r="B157" s="34"/>
      <c r="C157" s="21"/>
      <c r="D157" s="24"/>
      <c r="E157" s="24"/>
      <c r="F157" s="25"/>
      <c r="G157" s="57">
        <f t="shared" si="8"/>
        <v>0</v>
      </c>
      <c r="H157" s="58">
        <f t="shared" si="10"/>
        <v>9608.7800000000007</v>
      </c>
    </row>
    <row r="158" spans="1:8" ht="22.5" customHeight="1">
      <c r="A158" s="23"/>
      <c r="B158" s="34"/>
      <c r="C158" s="21"/>
      <c r="D158" s="24"/>
      <c r="E158" s="24"/>
      <c r="F158" s="25"/>
      <c r="G158" s="57">
        <f t="shared" si="8"/>
        <v>0</v>
      </c>
      <c r="H158" s="58">
        <f t="shared" si="10"/>
        <v>9608.7800000000007</v>
      </c>
    </row>
    <row r="159" spans="1:8" ht="22.5" customHeight="1">
      <c r="A159" s="23"/>
      <c r="B159" s="34"/>
      <c r="C159" s="21"/>
      <c r="D159" s="24"/>
      <c r="E159" s="24"/>
      <c r="F159" s="25"/>
      <c r="G159" s="57">
        <f t="shared" si="8"/>
        <v>0</v>
      </c>
      <c r="H159" s="58">
        <f t="shared" si="10"/>
        <v>9608.7800000000007</v>
      </c>
    </row>
    <row r="160" spans="1:8" ht="22.5" customHeight="1">
      <c r="A160" s="23"/>
      <c r="B160" s="34"/>
      <c r="C160" s="21"/>
      <c r="D160" s="24"/>
      <c r="E160" s="24"/>
      <c r="F160" s="25"/>
      <c r="G160" s="57">
        <f t="shared" si="8"/>
        <v>0</v>
      </c>
      <c r="H160" s="58">
        <f t="shared" si="10"/>
        <v>9608.7800000000007</v>
      </c>
    </row>
    <row r="161" spans="1:8" ht="22.5" customHeight="1">
      <c r="A161" s="23"/>
      <c r="B161" s="34"/>
      <c r="C161" s="21"/>
      <c r="D161" s="24"/>
      <c r="E161" s="24"/>
      <c r="F161" s="25"/>
      <c r="G161" s="57">
        <f t="shared" si="8"/>
        <v>0</v>
      </c>
      <c r="H161" s="58">
        <f t="shared" si="10"/>
        <v>9608.7800000000007</v>
      </c>
    </row>
    <row r="162" spans="1:8" ht="22.5" customHeight="1">
      <c r="A162" s="23"/>
      <c r="B162" s="34"/>
      <c r="C162" s="21"/>
      <c r="D162" s="24"/>
      <c r="E162" s="24"/>
      <c r="F162" s="25"/>
      <c r="G162" s="57">
        <f t="shared" si="8"/>
        <v>0</v>
      </c>
      <c r="H162" s="58">
        <f t="shared" si="10"/>
        <v>9608.7800000000007</v>
      </c>
    </row>
    <row r="163" spans="1:8" ht="22.5" customHeight="1">
      <c r="A163" s="23"/>
      <c r="B163" s="34"/>
      <c r="C163" s="21"/>
      <c r="D163" s="24"/>
      <c r="E163" s="24"/>
      <c r="F163" s="25"/>
      <c r="G163" s="57">
        <f t="shared" si="8"/>
        <v>0</v>
      </c>
      <c r="H163" s="58">
        <f t="shared" si="10"/>
        <v>9608.7800000000007</v>
      </c>
    </row>
    <row r="164" spans="1:8" ht="22.5" customHeight="1">
      <c r="A164" s="23"/>
      <c r="B164" s="34"/>
      <c r="C164" s="21"/>
      <c r="D164" s="24"/>
      <c r="E164" s="24"/>
      <c r="F164" s="25"/>
      <c r="G164" s="57">
        <f t="shared" si="8"/>
        <v>0</v>
      </c>
      <c r="H164" s="58">
        <f t="shared" si="10"/>
        <v>9608.7800000000007</v>
      </c>
    </row>
    <row r="165" spans="1:8" ht="22.5" customHeight="1">
      <c r="A165" s="23"/>
      <c r="B165" s="34"/>
      <c r="C165" s="21"/>
      <c r="D165" s="24"/>
      <c r="E165" s="24"/>
      <c r="F165" s="25"/>
      <c r="G165" s="57">
        <f t="shared" si="8"/>
        <v>0</v>
      </c>
      <c r="H165" s="58">
        <f t="shared" si="10"/>
        <v>9608.7800000000007</v>
      </c>
    </row>
    <row r="166" spans="1:8" ht="22.5" customHeight="1">
      <c r="A166" s="23"/>
      <c r="B166" s="34"/>
      <c r="C166" s="21"/>
      <c r="D166" s="24"/>
      <c r="E166" s="24"/>
      <c r="F166" s="25"/>
      <c r="G166" s="57">
        <f t="shared" si="8"/>
        <v>0</v>
      </c>
      <c r="H166" s="58">
        <f t="shared" si="10"/>
        <v>9608.7800000000007</v>
      </c>
    </row>
    <row r="167" spans="1:8" ht="22.5" customHeight="1">
      <c r="A167" s="23"/>
      <c r="B167" s="34"/>
      <c r="C167" s="21"/>
      <c r="D167" s="24"/>
      <c r="E167" s="24"/>
      <c r="F167" s="25"/>
      <c r="G167" s="57">
        <f t="shared" ref="G167:G198" si="11">IF(A167="Despesas",E167*-1,IF(A167="Receitas",E167,0))</f>
        <v>0</v>
      </c>
      <c r="H167" s="58">
        <f t="shared" si="10"/>
        <v>9608.7800000000007</v>
      </c>
    </row>
    <row r="168" spans="1:8" ht="22.5" customHeight="1">
      <c r="A168" s="23"/>
      <c r="B168" s="34"/>
      <c r="C168" s="21"/>
      <c r="D168" s="24"/>
      <c r="E168" s="24"/>
      <c r="F168" s="25"/>
      <c r="G168" s="57">
        <f t="shared" si="11"/>
        <v>0</v>
      </c>
      <c r="H168" s="58">
        <f t="shared" si="10"/>
        <v>9608.7800000000007</v>
      </c>
    </row>
    <row r="169" spans="1:8" ht="22.5" customHeight="1">
      <c r="A169" s="23"/>
      <c r="B169" s="34"/>
      <c r="C169" s="21"/>
      <c r="D169" s="24"/>
      <c r="E169" s="24"/>
      <c r="F169" s="25"/>
      <c r="G169" s="57">
        <f t="shared" si="11"/>
        <v>0</v>
      </c>
      <c r="H169" s="58">
        <f t="shared" si="10"/>
        <v>9608.7800000000007</v>
      </c>
    </row>
    <row r="170" spans="1:8" ht="22.5" customHeight="1">
      <c r="A170" s="23"/>
      <c r="B170" s="34"/>
      <c r="C170" s="21"/>
      <c r="D170" s="24"/>
      <c r="E170" s="24"/>
      <c r="F170" s="25"/>
      <c r="G170" s="57">
        <f t="shared" si="11"/>
        <v>0</v>
      </c>
      <c r="H170" s="58">
        <f t="shared" si="10"/>
        <v>9608.7800000000007</v>
      </c>
    </row>
    <row r="171" spans="1:8" ht="22.5" customHeight="1">
      <c r="A171" s="23"/>
      <c r="B171" s="34"/>
      <c r="C171" s="21"/>
      <c r="D171" s="24"/>
      <c r="E171" s="24"/>
      <c r="F171" s="25"/>
      <c r="G171" s="57">
        <f t="shared" si="11"/>
        <v>0</v>
      </c>
      <c r="H171" s="58">
        <f t="shared" si="10"/>
        <v>9608.7800000000007</v>
      </c>
    </row>
    <row r="172" spans="1:8" ht="22.5" customHeight="1">
      <c r="A172" s="23"/>
      <c r="B172" s="34"/>
      <c r="C172" s="21"/>
      <c r="D172" s="24"/>
      <c r="E172" s="24"/>
      <c r="F172" s="25"/>
      <c r="G172" s="57">
        <f t="shared" si="11"/>
        <v>0</v>
      </c>
      <c r="H172" s="58">
        <f t="shared" si="10"/>
        <v>9608.7800000000007</v>
      </c>
    </row>
    <row r="173" spans="1:8" ht="22.5" customHeight="1">
      <c r="A173" s="23"/>
      <c r="B173" s="34"/>
      <c r="C173" s="21"/>
      <c r="D173" s="24"/>
      <c r="E173" s="24"/>
      <c r="F173" s="25"/>
      <c r="G173" s="57">
        <f t="shared" si="11"/>
        <v>0</v>
      </c>
      <c r="H173" s="58">
        <f t="shared" si="10"/>
        <v>9608.7800000000007</v>
      </c>
    </row>
    <row r="174" spans="1:8" ht="22.5" customHeight="1">
      <c r="A174" s="23"/>
      <c r="B174" s="34"/>
      <c r="C174" s="21"/>
      <c r="D174" s="24"/>
      <c r="E174" s="24"/>
      <c r="F174" s="25"/>
      <c r="G174" s="57">
        <f t="shared" si="11"/>
        <v>0</v>
      </c>
      <c r="H174" s="58">
        <f t="shared" si="10"/>
        <v>9608.7800000000007</v>
      </c>
    </row>
    <row r="175" spans="1:8" ht="22.5" customHeight="1">
      <c r="A175" s="23"/>
      <c r="B175" s="34"/>
      <c r="C175" s="21"/>
      <c r="D175" s="24"/>
      <c r="E175" s="24"/>
      <c r="F175" s="25"/>
      <c r="G175" s="57">
        <f t="shared" si="11"/>
        <v>0</v>
      </c>
      <c r="H175" s="58">
        <f t="shared" si="10"/>
        <v>9608.7800000000007</v>
      </c>
    </row>
    <row r="176" spans="1:8" ht="22.5" customHeight="1">
      <c r="A176" s="23"/>
      <c r="B176" s="34"/>
      <c r="C176" s="21"/>
      <c r="D176" s="24"/>
      <c r="E176" s="24"/>
      <c r="F176" s="25"/>
      <c r="G176" s="57">
        <f t="shared" si="11"/>
        <v>0</v>
      </c>
      <c r="H176" s="58">
        <f t="shared" si="10"/>
        <v>9608.7800000000007</v>
      </c>
    </row>
    <row r="177" spans="1:8" ht="22.5" customHeight="1">
      <c r="A177" s="23"/>
      <c r="B177" s="34"/>
      <c r="C177" s="21"/>
      <c r="D177" s="24"/>
      <c r="E177" s="24"/>
      <c r="F177" s="25"/>
      <c r="G177" s="57">
        <f t="shared" si="11"/>
        <v>0</v>
      </c>
      <c r="H177" s="58">
        <f t="shared" si="10"/>
        <v>9608.7800000000007</v>
      </c>
    </row>
    <row r="178" spans="1:8" ht="22.5" customHeight="1">
      <c r="A178" s="23"/>
      <c r="B178" s="34"/>
      <c r="C178" s="21"/>
      <c r="D178" s="24"/>
      <c r="E178" s="24"/>
      <c r="F178" s="25"/>
      <c r="G178" s="57">
        <f t="shared" si="11"/>
        <v>0</v>
      </c>
      <c r="H178" s="58">
        <f t="shared" si="10"/>
        <v>9608.7800000000007</v>
      </c>
    </row>
    <row r="179" spans="1:8" ht="22.5" customHeight="1">
      <c r="A179" s="23"/>
      <c r="B179" s="34"/>
      <c r="C179" s="21"/>
      <c r="D179" s="24"/>
      <c r="E179" s="24"/>
      <c r="F179" s="25"/>
      <c r="G179" s="57">
        <f t="shared" si="11"/>
        <v>0</v>
      </c>
      <c r="H179" s="58">
        <f t="shared" si="10"/>
        <v>9608.7800000000007</v>
      </c>
    </row>
    <row r="180" spans="1:8" ht="22.5" customHeight="1">
      <c r="A180" s="23"/>
      <c r="B180" s="34"/>
      <c r="C180" s="21"/>
      <c r="D180" s="24"/>
      <c r="E180" s="24"/>
      <c r="F180" s="25"/>
      <c r="G180" s="57">
        <f t="shared" si="11"/>
        <v>0</v>
      </c>
      <c r="H180" s="58">
        <f t="shared" si="10"/>
        <v>9608.7800000000007</v>
      </c>
    </row>
    <row r="181" spans="1:8" ht="22.5" customHeight="1">
      <c r="A181" s="23"/>
      <c r="B181" s="34"/>
      <c r="C181" s="21"/>
      <c r="D181" s="24"/>
      <c r="E181" s="24"/>
      <c r="F181" s="25"/>
      <c r="G181" s="57">
        <f t="shared" si="11"/>
        <v>0</v>
      </c>
      <c r="H181" s="58">
        <f t="shared" si="10"/>
        <v>9608.7800000000007</v>
      </c>
    </row>
    <row r="182" spans="1:8" ht="22.5" customHeight="1">
      <c r="A182" s="23"/>
      <c r="B182" s="34"/>
      <c r="C182" s="21"/>
      <c r="D182" s="24"/>
      <c r="E182" s="24"/>
      <c r="F182" s="25"/>
      <c r="G182" s="57">
        <f t="shared" si="11"/>
        <v>0</v>
      </c>
      <c r="H182" s="58">
        <f t="shared" si="10"/>
        <v>9608.7800000000007</v>
      </c>
    </row>
    <row r="183" spans="1:8" ht="22.5" customHeight="1">
      <c r="A183" s="23"/>
      <c r="B183" s="34"/>
      <c r="C183" s="21"/>
      <c r="D183" s="24"/>
      <c r="E183" s="24"/>
      <c r="F183" s="25"/>
      <c r="G183" s="57">
        <f t="shared" si="11"/>
        <v>0</v>
      </c>
      <c r="H183" s="58">
        <f t="shared" si="10"/>
        <v>9608.7800000000007</v>
      </c>
    </row>
    <row r="184" spans="1:8" ht="22.5" customHeight="1">
      <c r="A184" s="23"/>
      <c r="B184" s="34"/>
      <c r="C184" s="21"/>
      <c r="D184" s="24"/>
      <c r="E184" s="24"/>
      <c r="F184" s="25"/>
      <c r="G184" s="57">
        <f t="shared" si="11"/>
        <v>0</v>
      </c>
      <c r="H184" s="58">
        <f t="shared" si="10"/>
        <v>9608.7800000000007</v>
      </c>
    </row>
    <row r="185" spans="1:8" ht="22.5" customHeight="1">
      <c r="A185" s="23"/>
      <c r="B185" s="34"/>
      <c r="C185" s="21"/>
      <c r="D185" s="24"/>
      <c r="E185" s="24"/>
      <c r="F185" s="25"/>
      <c r="G185" s="57">
        <f t="shared" si="11"/>
        <v>0</v>
      </c>
      <c r="H185" s="58">
        <f t="shared" si="10"/>
        <v>9608.7800000000007</v>
      </c>
    </row>
    <row r="186" spans="1:8" ht="22.5" customHeight="1">
      <c r="A186" s="23"/>
      <c r="B186" s="34"/>
      <c r="C186" s="21"/>
      <c r="D186" s="24"/>
      <c r="E186" s="24"/>
      <c r="F186" s="25"/>
      <c r="G186" s="57">
        <f t="shared" si="11"/>
        <v>0</v>
      </c>
      <c r="H186" s="58">
        <f t="shared" si="10"/>
        <v>9608.7800000000007</v>
      </c>
    </row>
    <row r="187" spans="1:8" ht="22.5" customHeight="1">
      <c r="A187" s="23"/>
      <c r="B187" s="34"/>
      <c r="C187" s="21"/>
      <c r="D187" s="24"/>
      <c r="E187" s="24"/>
      <c r="F187" s="25"/>
      <c r="G187" s="57">
        <f t="shared" si="11"/>
        <v>0</v>
      </c>
      <c r="H187" s="58">
        <f t="shared" si="10"/>
        <v>9608.7800000000007</v>
      </c>
    </row>
    <row r="188" spans="1:8" ht="22.5" customHeight="1">
      <c r="A188" s="23"/>
      <c r="B188" s="34"/>
      <c r="C188" s="21"/>
      <c r="D188" s="24"/>
      <c r="E188" s="24"/>
      <c r="F188" s="25"/>
      <c r="G188" s="57">
        <f t="shared" si="11"/>
        <v>0</v>
      </c>
      <c r="H188" s="58">
        <f t="shared" si="10"/>
        <v>9608.7800000000007</v>
      </c>
    </row>
    <row r="189" spans="1:8" ht="22.5" customHeight="1">
      <c r="A189" s="23"/>
      <c r="B189" s="34"/>
      <c r="C189" s="21"/>
      <c r="D189" s="24"/>
      <c r="E189" s="24"/>
      <c r="F189" s="25"/>
      <c r="G189" s="57">
        <f t="shared" si="11"/>
        <v>0</v>
      </c>
      <c r="H189" s="58">
        <f t="shared" si="10"/>
        <v>9608.7800000000007</v>
      </c>
    </row>
    <row r="190" spans="1:8" ht="22.5" customHeight="1">
      <c r="A190" s="23"/>
      <c r="B190" s="34"/>
      <c r="C190" s="21"/>
      <c r="D190" s="24"/>
      <c r="E190" s="24"/>
      <c r="F190" s="25"/>
      <c r="G190" s="57">
        <f t="shared" si="11"/>
        <v>0</v>
      </c>
      <c r="H190" s="58">
        <f t="shared" si="10"/>
        <v>9608.7800000000007</v>
      </c>
    </row>
    <row r="191" spans="1:8" ht="22.5" customHeight="1">
      <c r="A191" s="23"/>
      <c r="B191" s="34"/>
      <c r="C191" s="21"/>
      <c r="D191" s="24"/>
      <c r="E191" s="24"/>
      <c r="F191" s="25"/>
      <c r="G191" s="57">
        <f t="shared" si="11"/>
        <v>0</v>
      </c>
      <c r="H191" s="58">
        <f t="shared" si="10"/>
        <v>9608.7800000000007</v>
      </c>
    </row>
    <row r="192" spans="1:8" ht="22.5" customHeight="1">
      <c r="A192" s="23"/>
      <c r="B192" s="34"/>
      <c r="C192" s="21"/>
      <c r="D192" s="24"/>
      <c r="E192" s="24"/>
      <c r="F192" s="25"/>
      <c r="G192" s="57">
        <f t="shared" si="11"/>
        <v>0</v>
      </c>
      <c r="H192" s="58">
        <f t="shared" si="10"/>
        <v>9608.7800000000007</v>
      </c>
    </row>
    <row r="193" spans="1:8" ht="22.5" customHeight="1">
      <c r="A193" s="23"/>
      <c r="B193" s="34"/>
      <c r="C193" s="21"/>
      <c r="D193" s="24"/>
      <c r="E193" s="24"/>
      <c r="F193" s="25"/>
      <c r="G193" s="57">
        <f t="shared" si="11"/>
        <v>0</v>
      </c>
      <c r="H193" s="58">
        <f t="shared" si="10"/>
        <v>9608.7800000000007</v>
      </c>
    </row>
    <row r="194" spans="1:8" ht="22.5" customHeight="1">
      <c r="A194" s="23"/>
      <c r="B194" s="34"/>
      <c r="C194" s="21"/>
      <c r="D194" s="24"/>
      <c r="E194" s="24"/>
      <c r="F194" s="25"/>
      <c r="G194" s="57">
        <f t="shared" si="11"/>
        <v>0</v>
      </c>
      <c r="H194" s="58">
        <f t="shared" si="10"/>
        <v>9608.7800000000007</v>
      </c>
    </row>
    <row r="195" spans="1:8" ht="22.5" customHeight="1">
      <c r="A195" s="23"/>
      <c r="B195" s="34"/>
      <c r="C195" s="21"/>
      <c r="D195" s="24"/>
      <c r="E195" s="24"/>
      <c r="F195" s="25"/>
      <c r="G195" s="57">
        <f t="shared" si="11"/>
        <v>0</v>
      </c>
      <c r="H195" s="58">
        <f t="shared" si="10"/>
        <v>9608.7800000000007</v>
      </c>
    </row>
    <row r="196" spans="1:8" ht="22.5" customHeight="1">
      <c r="A196" s="23"/>
      <c r="B196" s="34"/>
      <c r="C196" s="21"/>
      <c r="D196" s="24"/>
      <c r="E196" s="24"/>
      <c r="F196" s="25"/>
      <c r="G196" s="57">
        <f t="shared" si="11"/>
        <v>0</v>
      </c>
      <c r="H196" s="58">
        <f t="shared" si="10"/>
        <v>9608.7800000000007</v>
      </c>
    </row>
    <row r="197" spans="1:8" ht="22.5" customHeight="1">
      <c r="A197" s="23"/>
      <c r="B197" s="34"/>
      <c r="C197" s="21"/>
      <c r="D197" s="24"/>
      <c r="E197" s="24"/>
      <c r="F197" s="25"/>
      <c r="G197" s="57">
        <f t="shared" si="11"/>
        <v>0</v>
      </c>
      <c r="H197" s="58">
        <f t="shared" si="10"/>
        <v>9608.7800000000007</v>
      </c>
    </row>
    <row r="198" spans="1:8" ht="22.5" customHeight="1">
      <c r="A198" s="23"/>
      <c r="B198" s="34"/>
      <c r="C198" s="21"/>
      <c r="D198" s="24"/>
      <c r="E198" s="24"/>
      <c r="F198" s="25"/>
      <c r="G198" s="57">
        <f t="shared" si="11"/>
        <v>0</v>
      </c>
      <c r="H198" s="58">
        <f t="shared" si="10"/>
        <v>9608.7800000000007</v>
      </c>
    </row>
    <row r="199" spans="1:8" ht="22.5" customHeight="1">
      <c r="A199" s="23"/>
      <c r="B199" s="34"/>
      <c r="C199" s="21"/>
      <c r="D199" s="24"/>
      <c r="E199" s="24"/>
      <c r="F199" s="25"/>
      <c r="G199" s="57">
        <f t="shared" ref="G199:G206" si="12">IF(A199="Despesas",E199*-1,IF(A199="Receitas",E199,0))</f>
        <v>0</v>
      </c>
      <c r="H199" s="58">
        <f t="shared" si="10"/>
        <v>9608.7800000000007</v>
      </c>
    </row>
    <row r="200" spans="1:8" ht="22.5" customHeight="1">
      <c r="A200" s="23"/>
      <c r="B200" s="34"/>
      <c r="C200" s="21"/>
      <c r="D200" s="24"/>
      <c r="E200" s="24"/>
      <c r="F200" s="25"/>
      <c r="G200" s="57">
        <f t="shared" si="12"/>
        <v>0</v>
      </c>
      <c r="H200" s="58">
        <f t="shared" si="10"/>
        <v>9608.7800000000007</v>
      </c>
    </row>
    <row r="201" spans="1:8" ht="22.5" customHeight="1">
      <c r="A201" s="23"/>
      <c r="B201" s="34"/>
      <c r="C201" s="21"/>
      <c r="D201" s="24"/>
      <c r="E201" s="24"/>
      <c r="F201" s="25"/>
      <c r="G201" s="57">
        <f t="shared" si="12"/>
        <v>0</v>
      </c>
      <c r="H201" s="58">
        <f t="shared" si="10"/>
        <v>9608.7800000000007</v>
      </c>
    </row>
    <row r="202" spans="1:8" ht="22.5" customHeight="1">
      <c r="A202" s="23"/>
      <c r="B202" s="34"/>
      <c r="C202" s="21"/>
      <c r="D202" s="24"/>
      <c r="E202" s="24"/>
      <c r="F202" s="25"/>
      <c r="G202" s="57">
        <f t="shared" si="12"/>
        <v>0</v>
      </c>
      <c r="H202" s="58">
        <f t="shared" si="10"/>
        <v>9608.7800000000007</v>
      </c>
    </row>
    <row r="203" spans="1:8" ht="22.5" customHeight="1">
      <c r="A203" s="23"/>
      <c r="B203" s="34"/>
      <c r="C203" s="21"/>
      <c r="D203" s="24"/>
      <c r="E203" s="24"/>
      <c r="F203" s="25"/>
      <c r="G203" s="57">
        <f t="shared" si="12"/>
        <v>0</v>
      </c>
      <c r="H203" s="58">
        <f t="shared" si="10"/>
        <v>9608.7800000000007</v>
      </c>
    </row>
    <row r="204" spans="1:8" ht="22.5" customHeight="1">
      <c r="A204" s="23"/>
      <c r="B204" s="34"/>
      <c r="C204" s="21"/>
      <c r="D204" s="24"/>
      <c r="E204" s="24"/>
      <c r="F204" s="25"/>
      <c r="G204" s="57">
        <f t="shared" si="12"/>
        <v>0</v>
      </c>
      <c r="H204" s="58">
        <f t="shared" si="10"/>
        <v>9608.7800000000007</v>
      </c>
    </row>
    <row r="205" spans="1:8" ht="22.5" customHeight="1">
      <c r="A205" s="23"/>
      <c r="B205" s="34"/>
      <c r="C205" s="21"/>
      <c r="D205" s="24"/>
      <c r="E205" s="24"/>
      <c r="F205" s="25"/>
      <c r="G205" s="57">
        <f t="shared" si="12"/>
        <v>0</v>
      </c>
      <c r="H205" s="58">
        <f t="shared" si="10"/>
        <v>9608.7800000000007</v>
      </c>
    </row>
    <row r="206" spans="1:8" ht="22.5" customHeight="1">
      <c r="A206" s="23"/>
      <c r="B206" s="34"/>
      <c r="C206" s="21"/>
      <c r="D206" s="24"/>
      <c r="E206" s="24"/>
      <c r="F206" s="25"/>
      <c r="G206" s="57">
        <f t="shared" si="12"/>
        <v>0</v>
      </c>
      <c r="H206" s="58">
        <f t="shared" si="10"/>
        <v>9608.7800000000007</v>
      </c>
    </row>
    <row r="207" spans="1:8" ht="22.5" customHeight="1">
      <c r="A207" s="54" t="s">
        <v>71</v>
      </c>
      <c r="B207" s="34" t="s">
        <v>72</v>
      </c>
      <c r="C207" s="54" t="s">
        <v>71</v>
      </c>
      <c r="D207" s="54" t="s">
        <v>71</v>
      </c>
      <c r="E207" s="54" t="s">
        <v>71</v>
      </c>
      <c r="F207" s="54" t="s">
        <v>71</v>
      </c>
      <c r="G207" s="59" t="s">
        <v>71</v>
      </c>
      <c r="H207" s="60" t="s">
        <v>72</v>
      </c>
    </row>
  </sheetData>
  <mergeCells count="4">
    <mergeCell ref="A1:A4"/>
    <mergeCell ref="C1:E3"/>
    <mergeCell ref="F1:F3"/>
    <mergeCell ref="H2:H3"/>
  </mergeCells>
  <conditionalFormatting sqref="H7:H207">
    <cfRule type="cellIs" dxfId="0" priority="1" operator="lessThan">
      <formula>0</formula>
    </cfRule>
  </conditionalFormatting>
  <dataValidations count="6">
    <dataValidation type="list" allowBlank="1" sqref="C7:C206" xr:uid="{CD3FB62E-7E58-4DE0-949A-A523A846B559}">
      <formula1>Bancos</formula1>
    </dataValidation>
    <dataValidation type="list" allowBlank="1" sqref="B7:B206" xr:uid="{EBEFAD4B-4A25-466B-8D10-CA0464E20F16}">
      <formula1>INDIRECT(A7)</formula1>
    </dataValidation>
    <dataValidation type="list" allowBlank="1" sqref="B207" xr:uid="{6D1D5825-503A-44F0-8E23-7B3685AC1C5E}">
      <formula1>INDIRECT($A$7)</formula1>
    </dataValidation>
    <dataValidation type="list" allowBlank="1" sqref="C207:G207 A207 C6" xr:uid="{F643B93D-FCFA-4E83-86B3-DAF4FB62295E}">
      <formula1>#REF!</formula1>
    </dataValidation>
    <dataValidation type="list" allowBlank="1" sqref="A7:A206 A6:B6" xr:uid="{2413DE9F-FB46-4858-A2DF-89FD79665F9F}">
      <formula1>"Receitas,Despesas"</formula1>
    </dataValidation>
    <dataValidation type="custom" allowBlank="1" showDropDown="1" sqref="F6:F206" xr:uid="{25995CDF-CDF6-44BB-9C18-40463520C2DC}">
      <formula1>OR(NOT(ISERROR(DATEVALUE(F6))), AND(ISNUMBER(F6), LEFT(CELL("format", F6))="D"))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3</vt:i4>
      </vt:variant>
    </vt:vector>
  </HeadingPairs>
  <TitlesOfParts>
    <vt:vector size="17" baseType="lpstr">
      <vt:lpstr>Parâmetros</vt:lpstr>
      <vt:lpstr>Demonstrativo Anual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Bancos</vt:lpstr>
      <vt:lpstr>despesas</vt:lpstr>
      <vt:lpstr>receitas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e Bruna</cp:lastModifiedBy>
  <dcterms:created xsi:type="dcterms:W3CDTF">2026-06-23T13:32:06Z</dcterms:created>
  <dcterms:modified xsi:type="dcterms:W3CDTF">2026-06-23T18:06:26Z</dcterms:modified>
</cp:coreProperties>
</file>